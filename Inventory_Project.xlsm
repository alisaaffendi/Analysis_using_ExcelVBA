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a2a329bc239b7b7a/Desktop/FAST BWA/3BWA_1/BWA33002 - Industrial Computing Tools (Sir Lee Siaw Chong)/Project2/"/>
    </mc:Choice>
  </mc:AlternateContent>
  <xr:revisionPtr revIDLastSave="5533" documentId="13_ncr:1_{530986E8-4847-4F84-ABA7-A3EC7179B89F}" xr6:coauthVersionLast="47" xr6:coauthVersionMax="47" xr10:uidLastSave="{1311D021-FA37-AB4C-B783-50B7A3474CD0}"/>
  <bookViews>
    <workbookView xWindow="0" yWindow="0" windowWidth="28800" windowHeight="18000" activeTab="5" xr2:uid="{00000000-000D-0000-FFFF-FFFF00000000}"/>
  </bookViews>
  <sheets>
    <sheet name="Task for each group" sheetId="1" r:id="rId1"/>
    <sheet name="Receipt" sheetId="5" r:id="rId2"/>
    <sheet name="Inventory" sheetId="3" r:id="rId3"/>
    <sheet name="Item List" sheetId="4" r:id="rId4"/>
    <sheet name="Sales Performance" sheetId="6" r:id="rId5"/>
    <sheet name="Pivot Table(Item)" sheetId="8" r:id="rId6"/>
    <sheet name="Staff Performance" sheetId="7" r:id="rId7"/>
  </sheets>
  <externalReferences>
    <externalReference r:id="rId8"/>
  </externalReferences>
  <definedNames>
    <definedName name="_xlnm._FilterDatabase" localSheetId="4" hidden="1">'Sales Performance'!$G$13:$G$17</definedName>
    <definedName name="_xlnm.Print_Area" localSheetId="1">Receipt!$A$1:$J$25</definedName>
    <definedName name="StaffIDList">[1]!StaffID</definedName>
  </definedNames>
  <calcPr calcId="191029"/>
  <pivotCaches>
    <pivotCache cacheId="40" r:id="rId9"/>
    <pivotCache cacheId="41" r:id="rId10"/>
    <pivotCache cacheId="42" r:id="rId11"/>
    <pivotCache cacheId="43" r:id="rId12"/>
    <pivotCache cacheId="44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4" roundtripDataSignature="AMtx7miwIg5Qop6eP3/THtwCky8L4vBrDA=="/>
    </ext>
  </extLst>
</workbook>
</file>

<file path=xl/calcChain.xml><?xml version="1.0" encoding="utf-8"?>
<calcChain xmlns="http://schemas.openxmlformats.org/spreadsheetml/2006/main">
  <c r="S2" i="6" l="1"/>
  <c r="S6" i="6"/>
  <c r="S4" i="6"/>
  <c r="K91" i="8"/>
  <c r="K92" i="8"/>
  <c r="K93" i="8"/>
  <c r="K94" i="8"/>
  <c r="K95" i="8"/>
  <c r="K96" i="8"/>
  <c r="K97" i="8"/>
  <c r="K98" i="8"/>
  <c r="K90" i="8"/>
  <c r="E90" i="8"/>
  <c r="K83" i="8"/>
  <c r="K84" i="8"/>
  <c r="K85" i="8"/>
  <c r="K86" i="8"/>
  <c r="K87" i="8"/>
  <c r="K88" i="8"/>
  <c r="K82" i="8"/>
  <c r="E82" i="8"/>
  <c r="K80" i="8"/>
  <c r="E80" i="8"/>
  <c r="K73" i="8"/>
  <c r="K74" i="8"/>
  <c r="K75" i="8"/>
  <c r="K76" i="8"/>
  <c r="K77" i="8"/>
  <c r="K78" i="8"/>
  <c r="K72" i="8"/>
  <c r="E72" i="8"/>
  <c r="K65" i="8"/>
  <c r="K66" i="8"/>
  <c r="K67" i="8"/>
  <c r="K68" i="8"/>
  <c r="K69" i="8"/>
  <c r="K70" i="8"/>
  <c r="K64" i="8"/>
  <c r="E64" i="8"/>
  <c r="K58" i="8"/>
  <c r="K59" i="8"/>
  <c r="K60" i="8"/>
  <c r="K61" i="8"/>
  <c r="K62" i="8"/>
  <c r="K57" i="8"/>
  <c r="E57" i="8"/>
  <c r="K50" i="8"/>
  <c r="K51" i="8"/>
  <c r="K52" i="8"/>
  <c r="K53" i="8"/>
  <c r="K54" i="8"/>
  <c r="K55" i="8"/>
  <c r="K49" i="8"/>
  <c r="E49" i="8"/>
  <c r="K45" i="8"/>
  <c r="K46" i="8"/>
  <c r="K47" i="8"/>
  <c r="K44" i="8"/>
  <c r="E44" i="8"/>
  <c r="K31" i="8"/>
  <c r="K32" i="8"/>
  <c r="K33" i="8"/>
  <c r="K34" i="8"/>
  <c r="K35" i="8"/>
  <c r="K36" i="8"/>
  <c r="K37" i="8"/>
  <c r="K38" i="8"/>
  <c r="K39" i="8"/>
  <c r="K40" i="8"/>
  <c r="K41" i="8"/>
  <c r="K42" i="8"/>
  <c r="K30" i="8"/>
  <c r="E30" i="8"/>
  <c r="K25" i="8"/>
  <c r="K26" i="8"/>
  <c r="K27" i="8"/>
  <c r="K28" i="8"/>
  <c r="K24" i="8"/>
  <c r="E24" i="8"/>
  <c r="K15" i="8"/>
  <c r="K16" i="8"/>
  <c r="K17" i="8"/>
  <c r="K18" i="8"/>
  <c r="K19" i="8"/>
  <c r="K20" i="8"/>
  <c r="K21" i="8"/>
  <c r="K22" i="8"/>
  <c r="K14" i="8"/>
  <c r="E14" i="8"/>
  <c r="K6" i="8"/>
  <c r="K7" i="8"/>
  <c r="K8" i="8"/>
  <c r="K9" i="8"/>
  <c r="K10" i="8"/>
  <c r="K11" i="8"/>
  <c r="K12" i="8"/>
  <c r="K5" i="8"/>
  <c r="E5" i="8"/>
  <c r="E91" i="8"/>
  <c r="E92" i="8"/>
  <c r="E93" i="8"/>
  <c r="E94" i="8"/>
  <c r="E95" i="8"/>
  <c r="E96" i="8"/>
  <c r="E97" i="8"/>
  <c r="E98" i="8"/>
  <c r="E83" i="8"/>
  <c r="E84" i="8"/>
  <c r="E85" i="8"/>
  <c r="E86" i="8"/>
  <c r="E87" i="8"/>
  <c r="E88" i="8"/>
  <c r="E73" i="8"/>
  <c r="E74" i="8"/>
  <c r="E75" i="8"/>
  <c r="E76" i="8"/>
  <c r="E77" i="8"/>
  <c r="E78" i="8"/>
  <c r="E65" i="8"/>
  <c r="E66" i="8"/>
  <c r="E67" i="8"/>
  <c r="E68" i="8"/>
  <c r="E69" i="8"/>
  <c r="E70" i="8"/>
  <c r="E58" i="8"/>
  <c r="E59" i="8"/>
  <c r="E60" i="8"/>
  <c r="E61" i="8"/>
  <c r="E62" i="8"/>
  <c r="E50" i="8"/>
  <c r="E51" i="8"/>
  <c r="E52" i="8"/>
  <c r="E53" i="8"/>
  <c r="E54" i="8"/>
  <c r="E55" i="8"/>
  <c r="E45" i="8"/>
  <c r="E46" i="8"/>
  <c r="E47" i="8"/>
  <c r="E6" i="8"/>
  <c r="E7" i="8"/>
  <c r="E8" i="8"/>
  <c r="E9" i="8"/>
  <c r="E10" i="8"/>
  <c r="E11" i="8"/>
  <c r="E12" i="8"/>
  <c r="E15" i="8"/>
  <c r="E16" i="8"/>
  <c r="E17" i="8"/>
  <c r="E18" i="8"/>
  <c r="E19" i="8"/>
  <c r="E20" i="8"/>
  <c r="E21" i="8"/>
  <c r="E22" i="8"/>
  <c r="E25" i="8"/>
  <c r="E26" i="8"/>
  <c r="E27" i="8"/>
  <c r="E28" i="8"/>
  <c r="E31" i="8"/>
  <c r="E32" i="8"/>
  <c r="E33" i="8"/>
  <c r="E34" i="8"/>
  <c r="E35" i="8"/>
  <c r="E36" i="8"/>
  <c r="E37" i="8"/>
  <c r="E38" i="8"/>
  <c r="E39" i="8"/>
  <c r="E40" i="8"/>
  <c r="E41" i="8"/>
  <c r="E42" i="8"/>
</calcChain>
</file>

<file path=xl/sharedStrings.xml><?xml version="1.0" encoding="utf-8"?>
<sst xmlns="http://schemas.openxmlformats.org/spreadsheetml/2006/main" count="1831" uniqueCount="731">
  <si>
    <t>What each group need to do</t>
  </si>
  <si>
    <t>In the Attendance workbook (shared between all groups)</t>
  </si>
  <si>
    <t>Group</t>
  </si>
  <si>
    <t>Fill in the staff info first, each group fill in 5 sales person</t>
  </si>
  <si>
    <t>Then fill in the time each sales person check in/ out</t>
  </si>
  <si>
    <t>7 weeks</t>
  </si>
  <si>
    <t>6 weeks</t>
  </si>
  <si>
    <t>In the Inventory workbook (shared between all groups)</t>
  </si>
  <si>
    <t>Each group create at least 20 inventory items</t>
  </si>
  <si>
    <t>For example, Group 1 TV only, Group 2 Refrigerator only</t>
  </si>
  <si>
    <t>When you have all data, create at least 100 sales (each group do by their own)</t>
  </si>
  <si>
    <t>date</t>
  </si>
  <si>
    <t>name</t>
  </si>
  <si>
    <t>specification</t>
  </si>
  <si>
    <t>serial number</t>
  </si>
  <si>
    <t>purchase cost</t>
  </si>
  <si>
    <t>in stock</t>
  </si>
  <si>
    <t>sold</t>
  </si>
  <si>
    <t>staff ID</t>
  </si>
  <si>
    <t>date sold</t>
  </si>
  <si>
    <t>price sold</t>
  </si>
  <si>
    <t>discount</t>
  </si>
  <si>
    <t>customer</t>
  </si>
  <si>
    <t>profit (%)</t>
  </si>
  <si>
    <t>profit</t>
  </si>
  <si>
    <t>Samsung 1.0HP H-Inverter Premium</t>
  </si>
  <si>
    <t>SAM-AR10TYHY</t>
  </si>
  <si>
    <t>Samsung 50 inch 4K Smart TV</t>
  </si>
  <si>
    <t>Q65AB-QLED</t>
  </si>
  <si>
    <t>Samsung Flat 75" QLED 4K Q60 Series</t>
  </si>
  <si>
    <t>QN75Q60RA</t>
  </si>
  <si>
    <t>Sharp 55-inch 4K UHD Smart TV</t>
  </si>
  <si>
    <t>SHP-4TC55CJ2X</t>
  </si>
  <si>
    <t>SAMSUNG 65-inch Class Curved UHD TU-8300 Series - 4K</t>
  </si>
  <si>
    <t>B08BTJ5JZ8</t>
  </si>
  <si>
    <t>Panasonic 65 inch LED, 4K HDR Android TV</t>
  </si>
  <si>
    <t>TH-65JX800K</t>
  </si>
  <si>
    <t>Panasonic 58 inch Android UHD TV</t>
  </si>
  <si>
    <t>PSN-TH58JX700K</t>
  </si>
  <si>
    <t>Panasonic 55 inch Series OLED 4K</t>
  </si>
  <si>
    <t>JX1000K</t>
  </si>
  <si>
    <t xml:space="preserve">Panasonic 65 inch Series OLED, 4K HDR Smart TV </t>
  </si>
  <si>
    <t>TH-65JZ2000K</t>
  </si>
  <si>
    <t>LG 48 inch A1 4K Smart SELF-LIT OLED TV with AI ThinQ®</t>
  </si>
  <si>
    <t>LG-86QNED99</t>
  </si>
  <si>
    <t>LG QNED99 86 Inch 8K Smart QNED MiniLED TV with AI ThinQ</t>
  </si>
  <si>
    <t>LG-41ANED65</t>
  </si>
  <si>
    <t>LG 50 inch NANO75 NanoCell 4K Smart TV with AI ThinQ®</t>
  </si>
  <si>
    <t>LG-50NANO75</t>
  </si>
  <si>
    <t>Haier 65-inch UHD TV</t>
  </si>
  <si>
    <t>H65K66UG</t>
  </si>
  <si>
    <t>Philips 32-Inch Slim LED TV</t>
  </si>
  <si>
    <t>PLP-32PHT5505</t>
  </si>
  <si>
    <t>Philips 50-Inch 4K UHD LED Android TV</t>
  </si>
  <si>
    <t>PLP-50PUT8115</t>
  </si>
  <si>
    <t>Toshiba 50 Inch C350 4K Android UHD TV</t>
  </si>
  <si>
    <t>THB-50C350KP</t>
  </si>
  <si>
    <t>Toshiba 55 Inch C350 4K Android UHD TV</t>
  </si>
  <si>
    <t>THB-55C350KP</t>
  </si>
  <si>
    <t>Toshiba 75 Inch C350 4K Android UHD TV</t>
  </si>
  <si>
    <t>THB-75C350KP</t>
  </si>
  <si>
    <t>Sharp AQUOS 70 Inch 8K Resolution TV</t>
  </si>
  <si>
    <t>SHP-8TC70DW1X</t>
  </si>
  <si>
    <t>Sharp AQUOS 60 Inch 8K Resolution TV</t>
  </si>
  <si>
    <t>SHP-8TC60DW1X</t>
  </si>
  <si>
    <t>Toshiba 556L Multi-Door Dual Inverter Refrigerator</t>
  </si>
  <si>
    <t>TSB-GRRF610WEPGY</t>
  </si>
  <si>
    <t>Panasonic 465L 2-door Bottom Freezer Refrigerator Black Glass Door</t>
  </si>
  <si>
    <t>NR-BX471WGKM</t>
  </si>
  <si>
    <t>Panasonic 422L 2-door Bottom Freezer Refrigerator White Glass Door</t>
  </si>
  <si>
    <t>NR-BX421WGWM</t>
  </si>
  <si>
    <t>Hitachi 722L Vacuum Compartment Refrigerator</t>
  </si>
  <si>
    <t>RWX670KMXK</t>
  </si>
  <si>
    <t>Sharp 480L Pelican Refrigerator</t>
  </si>
  <si>
    <t>SJP598GK</t>
  </si>
  <si>
    <t>Sharp 620L Side By Side Refrigerator</t>
  </si>
  <si>
    <t>SHP-SJX639GK</t>
  </si>
  <si>
    <t>Samsung 670L Side by Side with Large Capacity Refrigerators</t>
  </si>
  <si>
    <t>RS63R5561M9</t>
  </si>
  <si>
    <t>Haier 120L Single Door Refrigerator</t>
  </si>
  <si>
    <t>HR-135H</t>
  </si>
  <si>
    <t>Panasonic 358L 2 Door Inverter Bottom Freezer Refrigerator</t>
  </si>
  <si>
    <t>NR-BC360XS</t>
  </si>
  <si>
    <t>Panasonic 234L 2-door Top Freezer Refrigerator</t>
  </si>
  <si>
    <t>NR-BL263VP</t>
  </si>
  <si>
    <t>Hisense 140L Single Door Refrigerator</t>
  </si>
  <si>
    <t>RR158D4AWB</t>
  </si>
  <si>
    <t>Hitachi 657L 4 Door Inverter Refrigerator</t>
  </si>
  <si>
    <t>R-WX620KMX</t>
  </si>
  <si>
    <t>Panasonic 322L 2 Door Bottom Freezer Refrigerator</t>
  </si>
  <si>
    <t>NR-BV320XS</t>
  </si>
  <si>
    <t>Haier 540L 4 Door Series Refrigerator</t>
  </si>
  <si>
    <t>HTF-540DGG7</t>
  </si>
  <si>
    <t>Haier 569L Side By Side Series Refrigerator</t>
  </si>
  <si>
    <t>HSR3918FNPG</t>
  </si>
  <si>
    <t xml:space="preserve">Asus Laptop E410M  </t>
  </si>
  <si>
    <t>ABV1204TS</t>
  </si>
  <si>
    <t>ASUS LAPTOP 14 R3-3250U</t>
  </si>
  <si>
    <t>M415D-AEB652TS</t>
  </si>
  <si>
    <t>ASUS LAPTOP 15 i5-1135G7</t>
  </si>
  <si>
    <t>A516E-ABQ1698TS</t>
  </si>
  <si>
    <t>ASUS LAPTOP i5-1135G7</t>
  </si>
  <si>
    <t>A516E-ABQ804TS</t>
  </si>
  <si>
    <t>SUS LAPTOP Celeron N4500</t>
  </si>
  <si>
    <t>BR1100FK-ABP0423R</t>
  </si>
  <si>
    <t>HP Victus Laptop 16E0127AX</t>
  </si>
  <si>
    <t xml:space="preserve"> AMD Ryzen</t>
  </si>
  <si>
    <t xml:space="preserve">GF63 Thin </t>
  </si>
  <si>
    <t>10SC-638MY</t>
  </si>
  <si>
    <t xml:space="preserve">Stealth 15M </t>
  </si>
  <si>
    <t>A11UEK-202MY</t>
  </si>
  <si>
    <t>HP ENVY x360</t>
  </si>
  <si>
    <t>AMD R5-4500U</t>
  </si>
  <si>
    <t>ACER SWIFT 3 RYZEN 7-5700U</t>
  </si>
  <si>
    <t xml:space="preserve"> SF314-43-R2Q8</t>
  </si>
  <si>
    <t>Acer Swift 5 Touch Laptop - Green</t>
  </si>
  <si>
    <t>SF514-55TA-537X</t>
  </si>
  <si>
    <t xml:space="preserve">ACER SWIFT 3 14" IPS FHD </t>
  </si>
  <si>
    <t>SF314-511-75A7</t>
  </si>
  <si>
    <t>ACER SWIFT 1</t>
  </si>
  <si>
    <t>SF114-34-P9TR</t>
  </si>
  <si>
    <t>ACER ASPIRE 5  I5-1135G7</t>
  </si>
  <si>
    <t>A514-54-56TF</t>
  </si>
  <si>
    <t xml:space="preserve">HUAWEI MateBook D14 </t>
  </si>
  <si>
    <t>NbB-WAI9</t>
  </si>
  <si>
    <t>HUAWEI MateBook D15 10th i5 2021</t>
  </si>
  <si>
    <t>BoB-WAH9</t>
  </si>
  <si>
    <t>HUAWEI MateBook 14 Q3 AMD R5 4000X</t>
  </si>
  <si>
    <t>KLVL-WDH9Q</t>
  </si>
  <si>
    <t>HUAWEI MateBook D15 10th i3 2021</t>
  </si>
  <si>
    <t>BoB-WAI9</t>
  </si>
  <si>
    <t xml:space="preserve">HP Laptop 14s-cf2040TX 14 Inch </t>
  </si>
  <si>
    <t>AMD Radeon 530</t>
  </si>
  <si>
    <t>Katana GF66</t>
  </si>
  <si>
    <t>11UE-458MY</t>
  </si>
  <si>
    <t xml:space="preserve">Electrolux 10kg UltimateCare 700 Front Load Washing Machine </t>
  </si>
  <si>
    <t>ELE-EWF1042Q7WB</t>
  </si>
  <si>
    <t>Electrolux 9kg UltimateCare 500 Front Load Washing Machine</t>
  </si>
  <si>
    <t>ELE-EWF9024P5WB</t>
  </si>
  <si>
    <t>Samsung 10KG Front Load Washer with AI Control</t>
  </si>
  <si>
    <t>SAM-WW10TP44DSX</t>
  </si>
  <si>
    <t xml:space="preserve">Samsung 12KG Top Load Washer with Wobble Technology™ </t>
  </si>
  <si>
    <t>SAM-WA12T5260BW</t>
  </si>
  <si>
    <t xml:space="preserve">Panasonic 11KG ECONAVI Inverter Blue Ag+ Front Load Washer </t>
  </si>
  <si>
    <t>NA-V11FX2</t>
  </si>
  <si>
    <t xml:space="preserve">Panasonic 8KG Top Load Washer </t>
  </si>
  <si>
    <t>NA-F80VB7HRT</t>
  </si>
  <si>
    <t xml:space="preserve">LG 13KG Top Load Washer with Inverter Direct Drive </t>
  </si>
  <si>
    <t>LG-TH2113DSAK</t>
  </si>
  <si>
    <t xml:space="preserve">LG 13kg Top Load Washer with Smart Inverter </t>
  </si>
  <si>
    <t>LG-T2313VSPM</t>
  </si>
  <si>
    <t xml:space="preserve">Sharp 10KG Top Load Inverter Washer </t>
  </si>
  <si>
    <t>ESY1019</t>
  </si>
  <si>
    <t xml:space="preserve">Sharp 15KG Top Load Washing Machine </t>
  </si>
  <si>
    <t>ESX159</t>
  </si>
  <si>
    <t xml:space="preserve">Toshiba 11/7KG Front Load Real Inverter Washer Dryer </t>
  </si>
  <si>
    <t>TSB-TWDBJ120M4M</t>
  </si>
  <si>
    <t xml:space="preserve">Toshiba Nano Wash 14kg Washing Machine </t>
  </si>
  <si>
    <t>TSB-AWDUG1500WMKK</t>
  </si>
  <si>
    <t xml:space="preserve">Hitachi 17kg Top Loading Built-in Heater Dual Jet Washing Machine </t>
  </si>
  <si>
    <t>SF-170ZCV</t>
  </si>
  <si>
    <t xml:space="preserve">Hitachi 14kg Top Loading Dual Jet Washing Machine </t>
  </si>
  <si>
    <t>SF-140TCV</t>
  </si>
  <si>
    <t xml:space="preserve">Haier 14kg Fully Auto Top Load Washing Machine </t>
  </si>
  <si>
    <t>HAI-HWM140M1990DD</t>
  </si>
  <si>
    <t>Haier 8kg Front Load Washing Machine</t>
  </si>
  <si>
    <t>HAI-HW80-BP12929</t>
  </si>
  <si>
    <t xml:space="preserve">Midea 13kg Top Load Fully Auto Inverter Quattro Washing Machine </t>
  </si>
  <si>
    <t>MA200W130D</t>
  </si>
  <si>
    <t xml:space="preserve">Midea 10.5kg Top Load Fully Auto Inverter Quattro Washing Machine </t>
  </si>
  <si>
    <t>MA200W105D</t>
  </si>
  <si>
    <t xml:space="preserve">Beko 17KG Top Load Washer </t>
  </si>
  <si>
    <t>WTLD170D</t>
  </si>
  <si>
    <t xml:space="preserve">Beko 9KG Front Load Washer Inverter </t>
  </si>
  <si>
    <t>WTV9745X0MA</t>
  </si>
  <si>
    <t>LG 1.0HP Dual Inverter Classic Air Conditioner LG</t>
  </si>
  <si>
    <t>S3Q09WA5AB</t>
  </si>
  <si>
    <t>Panasonic 2.0HP X-Deluxe Inverter R32 Air Conditioner PSN</t>
  </si>
  <si>
    <t>CSXPU18XKH</t>
  </si>
  <si>
    <t>Panasonic 1.0HP X-Deluxe Inverter R32 Air Conditioner PSN</t>
  </si>
  <si>
    <t>CSXPU10XKH</t>
  </si>
  <si>
    <t>Panasonic 1.5HP R32 Inverter Air Conditioner</t>
  </si>
  <si>
    <t>CSXPU13XKH</t>
  </si>
  <si>
    <t>Haier 2.0HP R32 Non-Inverter Series</t>
  </si>
  <si>
    <t>HSU19LPB21</t>
  </si>
  <si>
    <t>Haier 1.5HP R32 Non-Inverter Series</t>
  </si>
  <si>
    <t>HSU13LPB21</t>
  </si>
  <si>
    <t>Haier 1.0HP R32 Non-Inverter Series</t>
  </si>
  <si>
    <t>HSU10LPB21</t>
  </si>
  <si>
    <t>Panasonic 1.0HP R32 Inverter Air Conditioner PSN</t>
  </si>
  <si>
    <t>CSXU10XKH</t>
  </si>
  <si>
    <t>Panasonic 2.0HP R32 Inverter Air Conditioner PSN</t>
  </si>
  <si>
    <t>CSXU18XKH</t>
  </si>
  <si>
    <t>Panasonic 2.5HP R32 Inverter Air Conditioner PSN</t>
  </si>
  <si>
    <t>CSXU24XKH</t>
  </si>
  <si>
    <t>Panasonic 1.5HP R32 Inverter Air Conditioner CS</t>
  </si>
  <si>
    <t>XU13XKH-1</t>
  </si>
  <si>
    <t>Haier 1.0HP R32 Inverter Air Conditioner HA</t>
  </si>
  <si>
    <t>HSU10VTK21</t>
  </si>
  <si>
    <t>Panasonic 2.0HP Standard Inverter R32 Air Conditioner PSN</t>
  </si>
  <si>
    <t>CSPU18XKH</t>
  </si>
  <si>
    <t>Panasonic 1.5HP Standard Inverter R32 Air Conditioner PSN</t>
  </si>
  <si>
    <t>CSPU12XKH</t>
  </si>
  <si>
    <t>Panasonic 1.0HP Standard Inverter R32 Air Conditioner PSN</t>
  </si>
  <si>
    <t>CSPU9XKH</t>
  </si>
  <si>
    <t>Sharp 1.0HP R32 Portable Air Conditioner SHP</t>
  </si>
  <si>
    <t>CVH10YD</t>
  </si>
  <si>
    <t>SHARP J-Tech Inverter Plasmacluster Air Conditioner 2.5HP SHP</t>
  </si>
  <si>
    <t>AHXP24YMD</t>
  </si>
  <si>
    <t>SHARP J-Tech Inverter Plasmacluster Air Conditioner 2.0HP SHP</t>
  </si>
  <si>
    <t>AHXP18YMD</t>
  </si>
  <si>
    <t>SHARP J-Tech Inverter Plasmacluster Air Conditioner 1.5HP SHP</t>
  </si>
  <si>
    <t>AHXP13YMD</t>
  </si>
  <si>
    <t>SHARP J-Tech Inverter Plamacluster Air Conditioner 1.0HP SHP</t>
  </si>
  <si>
    <t>AHXP10YMD</t>
  </si>
  <si>
    <t xml:space="preserve">Khind 14" Antique Stand Fan </t>
  </si>
  <si>
    <t>SF141</t>
  </si>
  <si>
    <t xml:space="preserve">Mistral 16" Wooden Stand Fan With Remote </t>
  </si>
  <si>
    <t>MSF1615R</t>
  </si>
  <si>
    <t>Cornell Stand Fan</t>
  </si>
  <si>
    <t>CFN-S166AX</t>
  </si>
  <si>
    <t>Faber 16 Inch Wall Fan</t>
  </si>
  <si>
    <t>1637R</t>
  </si>
  <si>
    <t xml:space="preserve">Pensonic 16-Inch Stand Fan </t>
  </si>
  <si>
    <t>PEN-PSF4505GY</t>
  </si>
  <si>
    <t>Disney x Mistral Mimica Cool Breeze Rechargeable USB Fan</t>
  </si>
  <si>
    <t>MRF500</t>
  </si>
  <si>
    <t>Panasonic BAYU 5-Blade Ceiling Fan (56")</t>
  </si>
  <si>
    <t>PSN-FM14DZVBKH</t>
  </si>
  <si>
    <t>Panasonic WIFAN Wifi 5-Blade ceiling Fan– Mobile App Control</t>
  </si>
  <si>
    <t>PSN-FM15ECVBKSH</t>
  </si>
  <si>
    <t>Dyson Purifier Cool TP07 Air Purifier Fan</t>
  </si>
  <si>
    <t>TP07</t>
  </si>
  <si>
    <t>Houm 16" S16 Stand Fan (Walnut)</t>
  </si>
  <si>
    <t>HOU-S16</t>
  </si>
  <si>
    <t>Midea 16 inch Stand Fan</t>
  </si>
  <si>
    <t>MF-16FS18C</t>
  </si>
  <si>
    <t>Elba 16-inch Stand Fan</t>
  </si>
  <si>
    <t>ESF-J1656(BK)</t>
  </si>
  <si>
    <t>Deka 56cm Ceiling Fan</t>
  </si>
  <si>
    <t>DKA-DFCV3BK</t>
  </si>
  <si>
    <t xml:space="preserve">Midea 16 Inch Table Fan </t>
  </si>
  <si>
    <t>MID-MF16FT17NB</t>
  </si>
  <si>
    <t xml:space="preserve">Alpha Motto Desk Fan 60 </t>
  </si>
  <si>
    <t>ALP-DESK60</t>
  </si>
  <si>
    <t>Hatari 18 Inch Stand Fan</t>
  </si>
  <si>
    <t>HAP18M1</t>
  </si>
  <si>
    <t>Sharp 16-Inch Stand Fan</t>
  </si>
  <si>
    <t>PJS169GY</t>
  </si>
  <si>
    <t xml:space="preserve">Mistral 8" Oscillation Fan </t>
  </si>
  <si>
    <t>MTR-MTFD5070</t>
  </si>
  <si>
    <t>KDK 16-Inch Wall Fan with Remote</t>
  </si>
  <si>
    <t>KC4GR</t>
  </si>
  <si>
    <t xml:space="preserve">Alkova DEZI 56 Ceiling Fan </t>
  </si>
  <si>
    <t>ALK-DEZI56ORB</t>
  </si>
  <si>
    <t>SHARP 23L Microwave Oven</t>
  </si>
  <si>
    <t>SHP-R239EK</t>
  </si>
  <si>
    <t>Toshiba 24L Microwave Oven With Grill Function</t>
  </si>
  <si>
    <t>MW2-AG24PF(BK)</t>
  </si>
  <si>
    <t xml:space="preserve">Samsung 28L Solo Microwave Oven </t>
  </si>
  <si>
    <t>MS28F303TFK/SM</t>
  </si>
  <si>
    <t xml:space="preserve">Samsung 35L Convection Microwave Oven with HOT BLAST™ </t>
  </si>
  <si>
    <t>MC35R8088L</t>
  </si>
  <si>
    <t>Panasonic 25L Microwave Oven</t>
  </si>
  <si>
    <t>NN-ST34HB</t>
  </si>
  <si>
    <t>Sharp 32L Microwave Oven with Convection</t>
  </si>
  <si>
    <t>SHP-R859EBS</t>
  </si>
  <si>
    <t>Panasonic 20L Grill Combination Microwave Oven</t>
  </si>
  <si>
    <t>NN-GM24JBMPQ</t>
  </si>
  <si>
    <t xml:space="preserve">Panasonic 20L Microwave Oven </t>
  </si>
  <si>
    <t>PSN-NNST25JB</t>
  </si>
  <si>
    <t>Samsung 23L Grill Microwave Oven with Healthy Grill Fry Function</t>
  </si>
  <si>
    <t>SAM-MG23T5018CP</t>
  </si>
  <si>
    <t xml:space="preserve">Sharp 28L Microwave Oven with Grill </t>
  </si>
  <si>
    <t>SHP-R759EBS</t>
  </si>
  <si>
    <t xml:space="preserve">Electrolux 25L Built-in Microwave with Grill </t>
  </si>
  <si>
    <t>ELE-EMS2540X</t>
  </si>
  <si>
    <t>Elba 23L  Built-In Microwave Oven</t>
  </si>
  <si>
    <t>EMO-2306BI</t>
  </si>
  <si>
    <t xml:space="preserve">Toshiba 26L Microwave Oven With Convection Function </t>
  </si>
  <si>
    <t>TSB-MW2AC26TF(BK)</t>
  </si>
  <si>
    <t xml:space="preserve">Samsung 28L Convection Microwave Oven with Slim Fry </t>
  </si>
  <si>
    <t>SAM-MC28M6035KW</t>
  </si>
  <si>
    <t xml:space="preserve">Electrolux 20L Semi Built-in Microwave with Grill </t>
  </si>
  <si>
    <t>ELE-EMS2085X</t>
  </si>
  <si>
    <t>Panasonic Microwave 32L Inverter Technology</t>
  </si>
  <si>
    <t>NNST65JB</t>
  </si>
  <si>
    <t xml:space="preserve">Toshiba 21L Microwave Oven </t>
  </si>
  <si>
    <t>TSB-MW2MM21PF(BK)</t>
  </si>
  <si>
    <t xml:space="preserve">Sharp 20L Microwave Oven </t>
  </si>
  <si>
    <t>SHP-R219EK</t>
  </si>
  <si>
    <t xml:space="preserve">Panasonic 31L Inverter Grill Microwave Oven </t>
  </si>
  <si>
    <t>NN-GT69JS</t>
  </si>
  <si>
    <t>Sharp 23L Microwave Oven with Grill</t>
  </si>
  <si>
    <t xml:space="preserve"> SHP-R639ES</t>
  </si>
  <si>
    <t>Electrolux 18V Well Q6 Bagless Handstick Vacuum Cleaner</t>
  </si>
  <si>
    <t>ELE-WQ611EDBF</t>
  </si>
  <si>
    <t xml:space="preserve">Pensonic Toush Smart Laser Robot Vacuum </t>
  </si>
  <si>
    <t>PEN-T9002SRVLM</t>
  </si>
  <si>
    <t>Philips 2000 Series Bagless Vacuum Cleaner</t>
  </si>
  <si>
    <t>PLP-XB2023</t>
  </si>
  <si>
    <t xml:space="preserve">Beko 2-in-1 Cordless Vacuum </t>
  </si>
  <si>
    <t>VRT61814V</t>
  </si>
  <si>
    <t>Samsung Bagless Vacuum Cleaner 1800W</t>
  </si>
  <si>
    <t>VC18K5179H1/ME</t>
  </si>
  <si>
    <t>Cornell 20L Tank 3 in 1 Vacuum Cleaner</t>
  </si>
  <si>
    <t>COR-CVCWD603SC</t>
  </si>
  <si>
    <t xml:space="preserve">Electrolux Vacuum Cleaner Ease C4 </t>
  </si>
  <si>
    <t>EC31-2BB</t>
  </si>
  <si>
    <t xml:space="preserve">Midea 2-in-1 Vacuum Cleaner </t>
  </si>
  <si>
    <t>MID-MVC16TGN</t>
  </si>
  <si>
    <t xml:space="preserve">Philips PowerPro Vacuum Cleaner and Mopping System </t>
  </si>
  <si>
    <t>PLP-FC6404</t>
  </si>
  <si>
    <t>Anti-mite Vacuum Cleaner</t>
  </si>
  <si>
    <t>JIMMY-WB55</t>
  </si>
  <si>
    <t>Beko PractiClean Cordless Vacuum Cleaner</t>
  </si>
  <si>
    <t>VRT82821B</t>
  </si>
  <si>
    <t xml:space="preserve">Tefal X-Pert 3.60 Cordless Stick Vacuum </t>
  </si>
  <si>
    <t>TY6935HO</t>
  </si>
  <si>
    <t>Panasonic Advanced MEGA Cyclone Bagless Vacuum Cleaner</t>
  </si>
  <si>
    <t>MC-CL787HV47</t>
  </si>
  <si>
    <t xml:space="preserve">Khind Robotic Vacuum </t>
  </si>
  <si>
    <t>VC9X8C</t>
  </si>
  <si>
    <t>Philips SpeedPro Aqua Cordless Stick Vacuum Cleaner</t>
  </si>
  <si>
    <t>PLP-FC6728</t>
  </si>
  <si>
    <t>PowerWash Cordless Vacuum and Washer</t>
  </si>
  <si>
    <t>JIMMY-HW8</t>
  </si>
  <si>
    <t xml:space="preserve">Midea 1.5L Vacuum Cleaner Bagged Canister </t>
  </si>
  <si>
    <t>MVC-C1433</t>
  </si>
  <si>
    <t>Samsung Powerbot Essential with Vacuum Cleaning &amp; Mopping</t>
  </si>
  <si>
    <t>VR05R5050WK</t>
  </si>
  <si>
    <t>Sharp 2200W Bagless Vacuum Cleaner</t>
  </si>
  <si>
    <t>ECC2219N</t>
  </si>
  <si>
    <t>Karcher Multi-Purpose Premium Vacuum Cleaner WDS</t>
  </si>
  <si>
    <t>IEC60312</t>
  </si>
  <si>
    <t>5/29/2021</t>
  </si>
  <si>
    <t>12/21/2021</t>
  </si>
  <si>
    <t>4/15/2021</t>
  </si>
  <si>
    <t>8/21/2021</t>
  </si>
  <si>
    <t>4/13/2021</t>
  </si>
  <si>
    <t>4/25/2021</t>
  </si>
  <si>
    <t>2/16/2021</t>
  </si>
  <si>
    <t>1/16/2021</t>
  </si>
  <si>
    <t>4/19/2021</t>
  </si>
  <si>
    <t>12/29/2021</t>
  </si>
  <si>
    <t>5/16/2021</t>
  </si>
  <si>
    <t>5/21/2021</t>
  </si>
  <si>
    <t>3/28/2021</t>
  </si>
  <si>
    <t>4/20/2021</t>
  </si>
  <si>
    <t>6/24/2021</t>
  </si>
  <si>
    <t>7/28/2021</t>
  </si>
  <si>
    <t>2/19/2021</t>
  </si>
  <si>
    <t>9/24/2021</t>
  </si>
  <si>
    <t>7/22/2021</t>
  </si>
  <si>
    <t>11/27/2021</t>
  </si>
  <si>
    <t>1/24/2021</t>
  </si>
  <si>
    <t>12/26/2021</t>
  </si>
  <si>
    <t>11/21/2021</t>
  </si>
  <si>
    <t>12/31/2021</t>
  </si>
  <si>
    <t>4/18/2021</t>
  </si>
  <si>
    <t>3/16/2021</t>
  </si>
  <si>
    <t>1/27/2021</t>
  </si>
  <si>
    <t>3/20/2021</t>
  </si>
  <si>
    <t>2/28/2021</t>
  </si>
  <si>
    <t>8/16/2021</t>
  </si>
  <si>
    <t>7/19/2021</t>
  </si>
  <si>
    <t>9/13/2021</t>
  </si>
  <si>
    <t>6/15/2021</t>
  </si>
  <si>
    <t>3/24/2021</t>
  </si>
  <si>
    <t>7/13/2021</t>
  </si>
  <si>
    <t>8/31/2021</t>
  </si>
  <si>
    <t>5/26/2021</t>
  </si>
  <si>
    <t>4/24/2021</t>
  </si>
  <si>
    <t>6/20/2021</t>
  </si>
  <si>
    <t>10/18/2021</t>
  </si>
  <si>
    <t>11/14/2021</t>
  </si>
  <si>
    <t>7/21/2021</t>
  </si>
  <si>
    <t>1/13/2021</t>
  </si>
  <si>
    <t>5/28/2021</t>
  </si>
  <si>
    <t>4/17/2021</t>
  </si>
  <si>
    <t>3/18/2021</t>
  </si>
  <si>
    <t>3/15/2021</t>
  </si>
  <si>
    <t>11/26/2021</t>
  </si>
  <si>
    <t>12/13/2021</t>
  </si>
  <si>
    <t>5/20/2021</t>
  </si>
  <si>
    <t>8/24/2021</t>
  </si>
  <si>
    <t>1/17/2021</t>
  </si>
  <si>
    <t>12/18/2021</t>
  </si>
  <si>
    <t>10/25/2021</t>
  </si>
  <si>
    <t>11/22/2021</t>
  </si>
  <si>
    <t>2/15/2021</t>
  </si>
  <si>
    <t>6/22/2021</t>
  </si>
  <si>
    <t>11/18/2021</t>
  </si>
  <si>
    <t>1/25/2021</t>
  </si>
  <si>
    <t>11/29/2021</t>
  </si>
  <si>
    <t>11/19/2021</t>
  </si>
  <si>
    <t>9/30/2021</t>
  </si>
  <si>
    <t>10/14/2021</t>
  </si>
  <si>
    <t>2/27/2021</t>
  </si>
  <si>
    <t>6/30/2021</t>
  </si>
  <si>
    <t>3/17/2021</t>
  </si>
  <si>
    <t>9/23/2021</t>
  </si>
  <si>
    <t>2/21/2021</t>
  </si>
  <si>
    <t>1/30/2021</t>
  </si>
  <si>
    <t>9/17/2021</t>
  </si>
  <si>
    <t>8/18/2021</t>
  </si>
  <si>
    <t>6/17/2021</t>
  </si>
  <si>
    <t>3/27/2021</t>
  </si>
  <si>
    <t xml:space="preserve">DATE </t>
  </si>
  <si>
    <t>SERIAL NO.</t>
  </si>
  <si>
    <t>RECEIPT</t>
  </si>
  <si>
    <t>DATE PURCHASE</t>
  </si>
  <si>
    <t>CUSTOMER NAME</t>
  </si>
  <si>
    <t>INVOICE #</t>
  </si>
  <si>
    <t xml:space="preserve">ITEM SPECIFICATION </t>
  </si>
  <si>
    <t>ITEM NAME</t>
  </si>
  <si>
    <t>QTY</t>
  </si>
  <si>
    <t>PRICE</t>
  </si>
  <si>
    <t>AMOUNT</t>
  </si>
  <si>
    <t>SUBTOTAL</t>
  </si>
  <si>
    <t>NAME :</t>
  </si>
  <si>
    <t xml:space="preserve">  DISCOUNT RATE</t>
  </si>
  <si>
    <t xml:space="preserve"> </t>
  </si>
  <si>
    <t>ID :</t>
  </si>
  <si>
    <t>TOTAL DISCOUNT</t>
  </si>
  <si>
    <t>POSITION :</t>
  </si>
  <si>
    <t>TOTAL</t>
  </si>
  <si>
    <t>PURCHASE COST</t>
  </si>
  <si>
    <t>QUANTITY IN STOCK</t>
  </si>
  <si>
    <t>QUANTITY AFTER PURCHASE</t>
  </si>
  <si>
    <t>SALESPERSON</t>
  </si>
  <si>
    <t>TV</t>
  </si>
  <si>
    <t xml:space="preserve">Refrigerator </t>
  </si>
  <si>
    <t>Laptop</t>
  </si>
  <si>
    <t xml:space="preserve">Washing Machine </t>
  </si>
  <si>
    <t xml:space="preserve">Air Conditioner </t>
  </si>
  <si>
    <t>Fan</t>
  </si>
  <si>
    <t xml:space="preserve">Microwave </t>
  </si>
  <si>
    <t xml:space="preserve">Vacuum </t>
  </si>
  <si>
    <t>AW190197</t>
  </si>
  <si>
    <t>AW190148</t>
  </si>
  <si>
    <t>AW190185</t>
  </si>
  <si>
    <t>Samantha</t>
  </si>
  <si>
    <t>14062021SAM1</t>
  </si>
  <si>
    <t>DW190036</t>
  </si>
  <si>
    <t>Aideen</t>
  </si>
  <si>
    <t>30082021AID2</t>
  </si>
  <si>
    <t>Camilia</t>
  </si>
  <si>
    <t>01092021CAM3</t>
  </si>
  <si>
    <t>AW190090</t>
  </si>
  <si>
    <t>Ayla</t>
  </si>
  <si>
    <t>03032021AYL4</t>
  </si>
  <si>
    <t>Kaily</t>
  </si>
  <si>
    <t>15012021KAI5</t>
  </si>
  <si>
    <t>AW190100</t>
  </si>
  <si>
    <t>Siene</t>
  </si>
  <si>
    <t>18022021SIE6</t>
  </si>
  <si>
    <t>AW180140</t>
  </si>
  <si>
    <t>Jeanie</t>
  </si>
  <si>
    <t>09042021JEA7</t>
  </si>
  <si>
    <t>AW190212</t>
  </si>
  <si>
    <t>Nadelin</t>
  </si>
  <si>
    <t>01122021NAD8</t>
  </si>
  <si>
    <t>Layla</t>
  </si>
  <si>
    <t>20052021LAY9</t>
  </si>
  <si>
    <t>AW190164</t>
  </si>
  <si>
    <t>Dalmand</t>
  </si>
  <si>
    <t>23072021DAL10</t>
  </si>
  <si>
    <t>AW190152</t>
  </si>
  <si>
    <t>Lesnin</t>
  </si>
  <si>
    <t>14102021LES11</t>
  </si>
  <si>
    <t>AW190140</t>
  </si>
  <si>
    <t>Lolita</t>
  </si>
  <si>
    <t>17032021LOL12</t>
  </si>
  <si>
    <t>Alucald</t>
  </si>
  <si>
    <t>26112021ALU13</t>
  </si>
  <si>
    <t>AW190210</t>
  </si>
  <si>
    <t>Freya</t>
  </si>
  <si>
    <t>21122021FRE14</t>
  </si>
  <si>
    <t>AW190189</t>
  </si>
  <si>
    <t>Miya</t>
  </si>
  <si>
    <t>22012021MIY15</t>
  </si>
  <si>
    <t>AW190234</t>
  </si>
  <si>
    <t>Odette</t>
  </si>
  <si>
    <t>23042021ODE16</t>
  </si>
  <si>
    <t>AW190220</t>
  </si>
  <si>
    <t>Franco</t>
  </si>
  <si>
    <t>12102021FRA17</t>
  </si>
  <si>
    <t>AW190093</t>
  </si>
  <si>
    <t>Joey Choo</t>
  </si>
  <si>
    <t>05052021JOE18</t>
  </si>
  <si>
    <t>Olive</t>
  </si>
  <si>
    <t>31032021OLI19</t>
  </si>
  <si>
    <t>Bella</t>
  </si>
  <si>
    <t>22062021BEL20</t>
  </si>
  <si>
    <t>AW190199</t>
  </si>
  <si>
    <t>Fatimah</t>
  </si>
  <si>
    <t>26022021FAT21</t>
  </si>
  <si>
    <t>Wong Ah Huat</t>
  </si>
  <si>
    <t>31122021WON22</t>
  </si>
  <si>
    <t>AW190217</t>
  </si>
  <si>
    <t>Mohammad</t>
  </si>
  <si>
    <t>24112021MOH23</t>
  </si>
  <si>
    <t>AW190177</t>
  </si>
  <si>
    <t>Lee Li Ying</t>
  </si>
  <si>
    <t>22122021LEE24</t>
  </si>
  <si>
    <t>Alice</t>
  </si>
  <si>
    <t>28052021ALI25</t>
  </si>
  <si>
    <t>Lalita</t>
  </si>
  <si>
    <t>04042021LAL26</t>
  </si>
  <si>
    <t>AW180124</t>
  </si>
  <si>
    <t>Siti</t>
  </si>
  <si>
    <t>18052021SIT27</t>
  </si>
  <si>
    <t>AW190096</t>
  </si>
  <si>
    <t>Eva</t>
  </si>
  <si>
    <t>24062021EVA28</t>
  </si>
  <si>
    <t>AW190110</t>
  </si>
  <si>
    <t>Taksh</t>
  </si>
  <si>
    <t>15072021TAK29</t>
  </si>
  <si>
    <t>Jay Chou</t>
  </si>
  <si>
    <t>25112021JAY30</t>
  </si>
  <si>
    <t>Willy</t>
  </si>
  <si>
    <t>25032021WIL31</t>
  </si>
  <si>
    <t>AW190166</t>
  </si>
  <si>
    <t>Farah</t>
  </si>
  <si>
    <t>28122021FAR32</t>
  </si>
  <si>
    <t>Yong</t>
  </si>
  <si>
    <t>19082021YON33</t>
  </si>
  <si>
    <t>AW190188</t>
  </si>
  <si>
    <t>Hanita</t>
  </si>
  <si>
    <t>29072021HAN34</t>
  </si>
  <si>
    <t>AW190092</t>
  </si>
  <si>
    <t>Lim Jia Hao</t>
  </si>
  <si>
    <t>19012021LIM35</t>
  </si>
  <si>
    <t>Ismail</t>
  </si>
  <si>
    <t>23092021ISM36</t>
  </si>
  <si>
    <t>AW190203</t>
  </si>
  <si>
    <t>Alex</t>
  </si>
  <si>
    <t>11082021ALE37</t>
  </si>
  <si>
    <t>AW180075</t>
  </si>
  <si>
    <t>Melody</t>
  </si>
  <si>
    <t>21092021MEL38</t>
  </si>
  <si>
    <t>Shahili</t>
  </si>
  <si>
    <t>05082021SHA39</t>
  </si>
  <si>
    <t>AW190206</t>
  </si>
  <si>
    <t>Ahmad</t>
  </si>
  <si>
    <t>29032021AHM40</t>
  </si>
  <si>
    <t>AW190202</t>
  </si>
  <si>
    <t>Durga</t>
  </si>
  <si>
    <t>26012021DUR41</t>
  </si>
  <si>
    <t>AW190001</t>
  </si>
  <si>
    <t>Jack</t>
  </si>
  <si>
    <t>20122021JAC42</t>
  </si>
  <si>
    <t>Aisha</t>
  </si>
  <si>
    <t>09022021AIS43</t>
  </si>
  <si>
    <t>AW190025</t>
  </si>
  <si>
    <t>Lim Xiao Qi</t>
  </si>
  <si>
    <t>11052021LIM44</t>
  </si>
  <si>
    <t>Shini</t>
  </si>
  <si>
    <t>16062021SHI45</t>
  </si>
  <si>
    <t>AW190147</t>
  </si>
  <si>
    <t>Milly</t>
  </si>
  <si>
    <t>08102021MIL46</t>
  </si>
  <si>
    <t>AW190113</t>
  </si>
  <si>
    <t>Nicole</t>
  </si>
  <si>
    <t>14122021NIC47</t>
  </si>
  <si>
    <t>Nalin</t>
  </si>
  <si>
    <t>21052021NAL48</t>
  </si>
  <si>
    <t>Chong Mei Li</t>
  </si>
  <si>
    <t>24092021CHO49</t>
  </si>
  <si>
    <t>NR-BC360XM</t>
  </si>
  <si>
    <t>Panasonic 358L 3 Door Inverter Bottom Freezer Refrigerator</t>
  </si>
  <si>
    <t>Panasonic 234L 3-door Top Freezer Refrigerator</t>
  </si>
  <si>
    <t>NR-BL263VM</t>
  </si>
  <si>
    <t>Daisya</t>
  </si>
  <si>
    <t>08122021DAI50</t>
  </si>
  <si>
    <t>Izzati</t>
  </si>
  <si>
    <t>15102021IZZ51</t>
  </si>
  <si>
    <t>AW190193</t>
  </si>
  <si>
    <t>Maisarah</t>
  </si>
  <si>
    <t>27082021MAI52</t>
  </si>
  <si>
    <t>Joeann</t>
  </si>
  <si>
    <t>20102021JOE53</t>
  </si>
  <si>
    <t>AW190039</t>
  </si>
  <si>
    <t>Aisam</t>
  </si>
  <si>
    <t>18082021AIS54</t>
  </si>
  <si>
    <t>AW190060</t>
  </si>
  <si>
    <t>Ainaa</t>
  </si>
  <si>
    <t>21042021AIN55</t>
  </si>
  <si>
    <t>AW190043</t>
  </si>
  <si>
    <t>Seyera</t>
  </si>
  <si>
    <t>08072021SEY56</t>
  </si>
  <si>
    <t>AW190067</t>
  </si>
  <si>
    <t>Leong Wing Wai</t>
  </si>
  <si>
    <t>25082021LEO57</t>
  </si>
  <si>
    <t>Zirah</t>
  </si>
  <si>
    <t>24032021ZIR58</t>
  </si>
  <si>
    <t>Hatina</t>
  </si>
  <si>
    <t>18062021HAT59</t>
  </si>
  <si>
    <t>AW190159</t>
  </si>
  <si>
    <t>Fatin</t>
  </si>
  <si>
    <t>22102021FAT60</t>
  </si>
  <si>
    <t>AW190019</t>
  </si>
  <si>
    <t>Ester</t>
  </si>
  <si>
    <t>24022021EST61</t>
  </si>
  <si>
    <t>AW190087</t>
  </si>
  <si>
    <t>Zubairah</t>
  </si>
  <si>
    <t>08112021ZUB62</t>
  </si>
  <si>
    <t>AW180135</t>
  </si>
  <si>
    <t>Jocelin</t>
  </si>
  <si>
    <t>19012021JOC63</t>
  </si>
  <si>
    <t>AW180137</t>
  </si>
  <si>
    <t>Saifullah</t>
  </si>
  <si>
    <t>23022021SAI64</t>
  </si>
  <si>
    <t>Tan</t>
  </si>
  <si>
    <t>16122021TAN65</t>
  </si>
  <si>
    <t>Roslan</t>
  </si>
  <si>
    <t>20082021ROS66</t>
  </si>
  <si>
    <t>AW190074</t>
  </si>
  <si>
    <t>Aman</t>
  </si>
  <si>
    <t>10062021AMA67</t>
  </si>
  <si>
    <t>AW190057</t>
  </si>
  <si>
    <t>Mary Pang</t>
  </si>
  <si>
    <t>07072021MAR68</t>
  </si>
  <si>
    <t>Yeap</t>
  </si>
  <si>
    <t>07102021YEA69</t>
  </si>
  <si>
    <t>Vivian</t>
  </si>
  <si>
    <t>23122021VIV70</t>
  </si>
  <si>
    <t>Qian Wei</t>
  </si>
  <si>
    <t>04062021QIA71</t>
  </si>
  <si>
    <t>Tina</t>
  </si>
  <si>
    <t>16112021TIN72</t>
  </si>
  <si>
    <t>Lee Zii Jia</t>
  </si>
  <si>
    <t>02072021LEE73</t>
  </si>
  <si>
    <t>Muhaimin</t>
  </si>
  <si>
    <t>15042021MUH74</t>
  </si>
  <si>
    <t>Aaron</t>
  </si>
  <si>
    <t>10122021AAR75</t>
  </si>
  <si>
    <t>Dashini</t>
  </si>
  <si>
    <t>03092021DAS76</t>
  </si>
  <si>
    <t>Amanina</t>
  </si>
  <si>
    <t>17082021AMA77</t>
  </si>
  <si>
    <t>Kelly</t>
  </si>
  <si>
    <t>23112021KEL78</t>
  </si>
  <si>
    <t>Yobel Lim</t>
  </si>
  <si>
    <t>12052021YOB79</t>
  </si>
  <si>
    <t>Yuna</t>
  </si>
  <si>
    <t>12042021YUN80</t>
  </si>
  <si>
    <t>Hidayah</t>
  </si>
  <si>
    <t>19052021HID81</t>
  </si>
  <si>
    <t>Sam Ong</t>
  </si>
  <si>
    <t>06102021SAM82</t>
  </si>
  <si>
    <t>Rasin</t>
  </si>
  <si>
    <t>13082021RAS83</t>
  </si>
  <si>
    <t>Kirana</t>
  </si>
  <si>
    <t>29122021KIR84</t>
  </si>
  <si>
    <t>Nabella</t>
  </si>
  <si>
    <t>28102021NAB85</t>
  </si>
  <si>
    <t>15092021HAZ86</t>
  </si>
  <si>
    <t>Hazani</t>
  </si>
  <si>
    <t>Azam</t>
  </si>
  <si>
    <t>07052021AZA87</t>
  </si>
  <si>
    <t>Susila</t>
  </si>
  <si>
    <t>16082021SUS88</t>
  </si>
  <si>
    <t>Kalyavani</t>
  </si>
  <si>
    <t>19032021KAL89</t>
  </si>
  <si>
    <t>Logasundari</t>
  </si>
  <si>
    <t>04022021LOG90</t>
  </si>
  <si>
    <t>Vince</t>
  </si>
  <si>
    <t>12122021VIN91</t>
  </si>
  <si>
    <t>Windy Tey</t>
  </si>
  <si>
    <t>20042021WIN92</t>
  </si>
  <si>
    <t>Zulaiqa</t>
  </si>
  <si>
    <t>30092021ZUL93</t>
  </si>
  <si>
    <t>Suhaida</t>
  </si>
  <si>
    <t>07122021SUH94</t>
  </si>
  <si>
    <t>Cindy Woon</t>
  </si>
  <si>
    <t>27052021CIN95</t>
  </si>
  <si>
    <t>Natasha</t>
  </si>
  <si>
    <t>24082021NAT96</t>
  </si>
  <si>
    <t>Aneal</t>
  </si>
  <si>
    <t>28092021ANE97</t>
  </si>
  <si>
    <t xml:space="preserve">Priscilla </t>
  </si>
  <si>
    <t>06122021PRI98</t>
  </si>
  <si>
    <t>Natalie</t>
  </si>
  <si>
    <t>16022021NAT99</t>
  </si>
  <si>
    <t>No.</t>
  </si>
  <si>
    <t>Quantity Sold</t>
  </si>
  <si>
    <t>Month</t>
  </si>
  <si>
    <t>Item</t>
  </si>
  <si>
    <t>May</t>
  </si>
  <si>
    <t>August</t>
  </si>
  <si>
    <t>February</t>
  </si>
  <si>
    <t>January</t>
  </si>
  <si>
    <t>March</t>
  </si>
  <si>
    <t>November</t>
  </si>
  <si>
    <t>September</t>
  </si>
  <si>
    <t>July</t>
  </si>
  <si>
    <t>June</t>
  </si>
  <si>
    <t>December</t>
  </si>
  <si>
    <t>April</t>
  </si>
  <si>
    <t>October</t>
  </si>
  <si>
    <t>Sales</t>
  </si>
  <si>
    <t>Profit</t>
  </si>
  <si>
    <t>Grand Total</t>
  </si>
  <si>
    <t>Sum of Sales</t>
  </si>
  <si>
    <t>Values</t>
  </si>
  <si>
    <t>Sum of Quantity Sold</t>
  </si>
  <si>
    <t>January Total</t>
  </si>
  <si>
    <t>February Total</t>
  </si>
  <si>
    <t>March Total</t>
  </si>
  <si>
    <t>April Total</t>
  </si>
  <si>
    <t>May Total</t>
  </si>
  <si>
    <t>June Total</t>
  </si>
  <si>
    <t>July Total</t>
  </si>
  <si>
    <t>August Total</t>
  </si>
  <si>
    <t>September Total</t>
  </si>
  <si>
    <t>October Total</t>
  </si>
  <si>
    <t>November Total</t>
  </si>
  <si>
    <t>December Total</t>
  </si>
  <si>
    <t>Rank of Sales By Month</t>
  </si>
  <si>
    <t>Sum of Profit</t>
  </si>
  <si>
    <t>Rank of Profit By Month</t>
  </si>
  <si>
    <t>Row Labels</t>
  </si>
  <si>
    <t>Total</t>
  </si>
  <si>
    <t>Item with Largest Profit:</t>
  </si>
  <si>
    <t>Item with Largest Quantity:</t>
  </si>
  <si>
    <t>Item with Largest Sales:</t>
  </si>
  <si>
    <t>Alil</t>
  </si>
  <si>
    <t>272023ALI102</t>
  </si>
  <si>
    <t>12:00:00 AM103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</si>
</sst>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RM&quot;#,##0_);[Red]\(&quot;RM&quot;#,##0\)"/>
    <numFmt numFmtId="7" formatCode="&quot;RM&quot;#,##0.00_);\(&quot;RM&quot;#,##0.00\)"/>
    <numFmt numFmtId="8" formatCode="&quot;RM&quot;#,##0.00_);[Red]\(&quot;RM&quot;#,##0.00\)"/>
    <numFmt numFmtId="44" formatCode="_(&quot;RM&quot;* #,##0.00_);_(&quot;RM&quot;* \(#,##0.00\);_(&quot;RM&quot;* &quot;-&quot;??_);_(@_)"/>
    <numFmt numFmtId="164" formatCode="[$RM]#,##0.00"/>
    <numFmt numFmtId="165" formatCode="&quot;RM&quot;#,##0.00"/>
    <numFmt numFmtId="166" formatCode="000"/>
  </numFmts>
  <fonts count="29" x14ac:knownFonts="1">
    <font>
      <sz val="11"/>
      <color theme="1"/>
      <name val="Calibri"/>
    </font>
    <font>
      <sz val="11"/>
      <color theme="1"/>
      <name val="Calibri"/>
      <family val="2"/>
    </font>
    <font>
      <sz val="11"/>
      <color rgb="FF3F3F76"/>
      <name val="Calibri"/>
      <family val="2"/>
    </font>
    <font>
      <b/>
      <sz val="11"/>
      <color rgb="FFFA7D00"/>
      <name val="Calibri"/>
      <family val="2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theme="0"/>
      <name val="Century Gothic"/>
      <family val="2"/>
    </font>
    <font>
      <b/>
      <sz val="9"/>
      <color rgb="FFFFFFFF"/>
      <name val="Century Gothic"/>
      <family val="2"/>
    </font>
    <font>
      <b/>
      <sz val="26"/>
      <color theme="4" tint="-0.499984740745262"/>
      <name val="Century Gothic"/>
      <family val="2"/>
    </font>
    <font>
      <sz val="9"/>
      <color theme="1"/>
      <name val="Century Gothic"/>
      <family val="2"/>
    </font>
    <font>
      <sz val="12"/>
      <color theme="1"/>
      <name val="Century Gothic"/>
      <family val="2"/>
    </font>
    <font>
      <sz val="12"/>
      <color theme="1"/>
      <name val="Century Schoolbook"/>
      <family val="1"/>
    </font>
    <font>
      <sz val="14"/>
      <color rgb="FFFF0000"/>
      <name val="Century Gothic"/>
      <family val="2"/>
    </font>
    <font>
      <sz val="10"/>
      <color theme="1"/>
      <name val="Century Gothic"/>
      <family val="2"/>
    </font>
    <font>
      <sz val="9"/>
      <color rgb="FF2C2728"/>
      <name val="Arial"/>
      <family val="2"/>
    </font>
    <font>
      <b/>
      <sz val="12"/>
      <color theme="1" tint="4.9989318521683403E-2"/>
      <name val="Century Gothic"/>
      <family val="2"/>
    </font>
    <font>
      <sz val="10"/>
      <color theme="3" tint="-0.499984740745262"/>
      <name val="Century Gothic"/>
      <family val="2"/>
    </font>
    <font>
      <sz val="10"/>
      <name val="Century Gothic"/>
      <family val="2"/>
    </font>
    <font>
      <b/>
      <sz val="10"/>
      <color theme="1"/>
      <name val="Century Gothic"/>
      <family val="2"/>
    </font>
    <font>
      <sz val="10"/>
      <color theme="1"/>
      <name val="Century Gothic"/>
      <family val="1"/>
    </font>
    <font>
      <b/>
      <sz val="12"/>
      <color rgb="FF000000"/>
      <name val="Cambria"/>
      <family val="1"/>
    </font>
    <font>
      <sz val="11"/>
      <color theme="1"/>
      <name val="Calibri"/>
      <family val="2"/>
    </font>
    <font>
      <sz val="11"/>
      <color rgb="FF3F3F76"/>
      <name val="Calibri"/>
      <family val="2"/>
      <scheme val="major"/>
    </font>
    <font>
      <sz val="11"/>
      <color theme="1"/>
      <name val="Calibri"/>
      <family val="2"/>
      <scheme val="maj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ajor"/>
    </font>
    <font>
      <sz val="11"/>
      <color rgb="FF202124"/>
      <name val="Calibri"/>
      <family val="2"/>
      <scheme val="major"/>
    </font>
    <font>
      <b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  <bgColor rgb="FFFFCC99"/>
      </patternFill>
    </fill>
    <fill>
      <patternFill patternType="solid">
        <fgColor rgb="FFF2F2F2"/>
        <bgColor rgb="FFF2F2F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499984740745262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7F7F7F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medium">
        <color rgb="FF00B0F0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rgb="FFBFBFBF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theme="2" tint="-0.14999847407452621"/>
      </right>
      <top/>
      <bottom style="thin">
        <color theme="2" tint="-0.14999847407452621"/>
      </bottom>
      <diagonal/>
    </border>
    <border>
      <left/>
      <right/>
      <top/>
      <bottom style="hair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2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2" tint="-0.14999847407452621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D9D9D9"/>
      </bottom>
      <diagonal/>
    </border>
    <border>
      <left/>
      <right style="thin">
        <color theme="2" tint="-0.14999847407452621"/>
      </right>
      <top style="thin">
        <color theme="0" tint="-0.249977111117893"/>
      </top>
      <bottom style="medium">
        <color rgb="FFD9D9D9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medium">
        <color rgb="FFD9D9D9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medium">
        <color rgb="FFD9D9D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rgb="FFD9D9D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D9D9D9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2" tint="-0.14999847407452621"/>
      </bottom>
      <diagonal/>
    </border>
    <border>
      <left/>
      <right style="thin">
        <color rgb="FFBFBFBF"/>
      </right>
      <top/>
      <bottom style="thin">
        <color theme="2" tint="-0.14999847407452621"/>
      </bottom>
      <diagonal/>
    </border>
    <border>
      <left style="thin">
        <color rgb="FFBFBFBF"/>
      </left>
      <right style="thin">
        <color rgb="FFD9D9D9"/>
      </right>
      <top/>
      <bottom style="thin">
        <color theme="0" tint="-0.249977111117893"/>
      </bottom>
      <diagonal/>
    </border>
    <border>
      <left style="thin">
        <color theme="2" tint="-0.14999847407452621"/>
      </left>
      <right/>
      <top style="thin">
        <color rgb="FFD9D9D9"/>
      </top>
      <bottom style="thin">
        <color theme="2" tint="-0.14999847407452621"/>
      </bottom>
      <diagonal/>
    </border>
    <border>
      <left/>
      <right style="thin">
        <color rgb="FFD9D9D9"/>
      </right>
      <top style="thin">
        <color rgb="FFD9D9D9"/>
      </top>
      <bottom style="thin">
        <color theme="2" tint="-0.14999847407452621"/>
      </bottom>
      <diagonal/>
    </border>
    <border>
      <left/>
      <right style="thin">
        <color rgb="FFD9D9D9"/>
      </right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118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3" borderId="1" xfId="0" applyFont="1" applyFill="1" applyBorder="1"/>
    <xf numFmtId="164" fontId="1" fillId="0" borderId="0" xfId="0" applyNumberFormat="1" applyFont="1" applyAlignment="1">
      <alignment horizontal="center"/>
    </xf>
    <xf numFmtId="0" fontId="4" fillId="0" borderId="0" xfId="0" applyFont="1"/>
    <xf numFmtId="164" fontId="0" fillId="0" borderId="0" xfId="0" applyNumberFormat="1" applyAlignment="1">
      <alignment horizontal="center"/>
    </xf>
    <xf numFmtId="8" fontId="1" fillId="0" borderId="0" xfId="0" applyNumberFormat="1" applyFont="1" applyAlignment="1">
      <alignment horizontal="center"/>
    </xf>
    <xf numFmtId="8" fontId="0" fillId="0" borderId="0" xfId="0" applyNumberFormat="1" applyAlignment="1">
      <alignment horizontal="center"/>
    </xf>
    <xf numFmtId="6" fontId="1" fillId="0" borderId="0" xfId="0" applyNumberFormat="1" applyFont="1" applyAlignment="1">
      <alignment horizontal="center"/>
    </xf>
    <xf numFmtId="14" fontId="1" fillId="0" borderId="2" xfId="0" applyNumberFormat="1" applyFont="1" applyBorder="1" applyAlignment="1">
      <alignment horizontal="right" wrapText="1"/>
    </xf>
    <xf numFmtId="0" fontId="1" fillId="0" borderId="3" xfId="0" applyFont="1" applyBorder="1" applyAlignment="1">
      <alignment horizontal="right" wrapText="1"/>
    </xf>
    <xf numFmtId="14" fontId="1" fillId="0" borderId="3" xfId="0" applyNumberFormat="1" applyFont="1" applyBorder="1" applyAlignment="1">
      <alignment horizontal="right" wrapText="1"/>
    </xf>
    <xf numFmtId="14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10" fillId="0" borderId="13" xfId="0" applyFont="1" applyBorder="1" applyAlignment="1">
      <alignment horizontal="left" vertical="center" wrapText="1" indent="1"/>
    </xf>
    <xf numFmtId="0" fontId="10" fillId="0" borderId="16" xfId="0" applyFont="1" applyBorder="1" applyAlignment="1">
      <alignment horizontal="left" vertical="center" wrapText="1" indent="1"/>
    </xf>
    <xf numFmtId="0" fontId="8" fillId="5" borderId="8" xfId="0" applyFont="1" applyFill="1" applyBorder="1" applyAlignment="1">
      <alignment horizontal="center" vertical="center" wrapText="1"/>
    </xf>
    <xf numFmtId="0" fontId="11" fillId="0" borderId="0" xfId="0" applyFont="1"/>
    <xf numFmtId="0" fontId="12" fillId="0" borderId="0" xfId="0" applyFont="1"/>
    <xf numFmtId="0" fontId="10" fillId="0" borderId="17" xfId="0" applyFont="1" applyBorder="1" applyAlignment="1">
      <alignment horizontal="left" vertical="center" wrapText="1" inden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19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horizontal="left" wrapText="1"/>
    </xf>
    <xf numFmtId="0" fontId="18" fillId="0" borderId="0" xfId="0" applyFont="1" applyAlignment="1">
      <alignment horizontal="right" vertical="center" indent="1"/>
    </xf>
    <xf numFmtId="0" fontId="14" fillId="0" borderId="0" xfId="0" applyFont="1" applyAlignment="1">
      <alignment horizontal="right" vertical="center" indent="1"/>
    </xf>
    <xf numFmtId="0" fontId="14" fillId="0" borderId="0" xfId="0" applyFont="1" applyAlignment="1">
      <alignment horizontal="left" vertical="center" indent="1"/>
    </xf>
    <xf numFmtId="0" fontId="14" fillId="0" borderId="0" xfId="0" applyFont="1"/>
    <xf numFmtId="0" fontId="14" fillId="0" borderId="0" xfId="0" applyFont="1" applyAlignment="1">
      <alignment wrapText="1"/>
    </xf>
    <xf numFmtId="0" fontId="0" fillId="0" borderId="21" xfId="0" applyBorder="1"/>
    <xf numFmtId="0" fontId="0" fillId="0" borderId="22" xfId="0" applyBorder="1"/>
    <xf numFmtId="0" fontId="20" fillId="0" borderId="22" xfId="0" applyFont="1" applyBorder="1" applyAlignment="1">
      <alignment wrapText="1"/>
    </xf>
    <xf numFmtId="0" fontId="0" fillId="0" borderId="23" xfId="0" applyBorder="1"/>
    <xf numFmtId="0" fontId="7" fillId="4" borderId="8" xfId="0" applyFont="1" applyFill="1" applyBorder="1" applyAlignment="1">
      <alignment horizontal="center" vertical="center" wrapText="1"/>
    </xf>
    <xf numFmtId="0" fontId="16" fillId="0" borderId="26" xfId="0" applyFont="1" applyBorder="1" applyAlignment="1">
      <alignment horizontal="left"/>
    </xf>
    <xf numFmtId="0" fontId="17" fillId="0" borderId="26" xfId="0" applyFont="1" applyBorder="1" applyAlignment="1">
      <alignment horizontal="right" vertical="center" indent="1"/>
    </xf>
    <xf numFmtId="0" fontId="18" fillId="0" borderId="28" xfId="0" applyFont="1" applyBorder="1" applyAlignment="1">
      <alignment horizontal="right" vertical="center" indent="1"/>
    </xf>
    <xf numFmtId="1" fontId="14" fillId="0" borderId="33" xfId="0" applyNumberFormat="1" applyFont="1" applyBorder="1" applyAlignment="1">
      <alignment horizontal="center" vertical="center" wrapText="1"/>
    </xf>
    <xf numFmtId="3" fontId="19" fillId="8" borderId="27" xfId="0" applyNumberFormat="1" applyFont="1" applyFill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9" fontId="0" fillId="0" borderId="0" xfId="0" applyNumberFormat="1"/>
    <xf numFmtId="9" fontId="8" fillId="7" borderId="19" xfId="0" applyNumberFormat="1" applyFont="1" applyFill="1" applyBorder="1" applyAlignment="1">
      <alignment horizontal="center" vertical="center" wrapText="1"/>
    </xf>
    <xf numFmtId="165" fontId="14" fillId="8" borderId="20" xfId="0" applyNumberFormat="1" applyFont="1" applyFill="1" applyBorder="1" applyAlignment="1">
      <alignment horizontal="center" vertical="center"/>
    </xf>
    <xf numFmtId="44" fontId="19" fillId="8" borderId="34" xfId="1" applyFont="1" applyFill="1" applyBorder="1" applyAlignment="1">
      <alignment vertical="center" wrapText="1"/>
    </xf>
    <xf numFmtId="44" fontId="14" fillId="0" borderId="30" xfId="1" applyFont="1" applyBorder="1" applyAlignment="1">
      <alignment horizontal="center" vertical="center" wrapText="1"/>
    </xf>
    <xf numFmtId="44" fontId="19" fillId="8" borderId="20" xfId="1" applyFont="1" applyFill="1" applyBorder="1" applyAlignment="1">
      <alignment vertical="center"/>
    </xf>
    <xf numFmtId="0" fontId="7" fillId="4" borderId="37" xfId="0" applyFont="1" applyFill="1" applyBorder="1" applyAlignment="1">
      <alignment vertical="center" wrapText="1"/>
    </xf>
    <xf numFmtId="166" fontId="13" fillId="0" borderId="0" xfId="0" applyNumberFormat="1" applyFont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9" fontId="0" fillId="0" borderId="0" xfId="2" applyFont="1" applyAlignment="1"/>
    <xf numFmtId="44" fontId="0" fillId="0" borderId="0" xfId="1" applyFont="1" applyAlignment="1"/>
    <xf numFmtId="44" fontId="14" fillId="0" borderId="41" xfId="1" applyFont="1" applyBorder="1" applyAlignment="1">
      <alignment horizontal="center" vertical="center" wrapText="1"/>
    </xf>
    <xf numFmtId="14" fontId="1" fillId="0" borderId="0" xfId="0" applyNumberFormat="1" applyFont="1"/>
    <xf numFmtId="44" fontId="1" fillId="0" borderId="0" xfId="1" applyFont="1" applyAlignment="1">
      <alignment horizontal="center"/>
    </xf>
    <xf numFmtId="44" fontId="1" fillId="0" borderId="0" xfId="1" applyFont="1" applyAlignment="1"/>
    <xf numFmtId="9" fontId="3" fillId="3" borderId="1" xfId="2" applyFont="1" applyFill="1" applyBorder="1"/>
    <xf numFmtId="9" fontId="4" fillId="0" borderId="0" xfId="2" applyFont="1"/>
    <xf numFmtId="44" fontId="3" fillId="3" borderId="1" xfId="1" applyFont="1" applyFill="1" applyBorder="1"/>
    <xf numFmtId="44" fontId="4" fillId="0" borderId="0" xfId="1" applyFont="1"/>
    <xf numFmtId="44" fontId="2" fillId="2" borderId="1" xfId="1" applyFont="1" applyFill="1" applyBorder="1"/>
    <xf numFmtId="14" fontId="3" fillId="3" borderId="1" xfId="0" applyNumberFormat="1" applyFont="1" applyFill="1" applyBorder="1"/>
    <xf numFmtId="14" fontId="4" fillId="0" borderId="0" xfId="0" applyNumberFormat="1" applyFont="1"/>
    <xf numFmtId="14" fontId="2" fillId="2" borderId="1" xfId="0" applyNumberFormat="1" applyFont="1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3" fillId="2" borderId="1" xfId="0" applyFont="1" applyFill="1" applyBorder="1"/>
    <xf numFmtId="0" fontId="24" fillId="0" borderId="0" xfId="0" applyFont="1"/>
    <xf numFmtId="0" fontId="25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" fontId="25" fillId="0" borderId="0" xfId="0" applyNumberFormat="1" applyFont="1" applyAlignment="1">
      <alignment horizontal="center" vertical="center"/>
    </xf>
    <xf numFmtId="44" fontId="25" fillId="0" borderId="0" xfId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0" fillId="0" borderId="0" xfId="0" pivotButton="1"/>
    <xf numFmtId="0" fontId="27" fillId="0" borderId="0" xfId="0" applyFont="1"/>
    <xf numFmtId="0" fontId="0" fillId="0" borderId="0" xfId="0" applyAlignment="1">
      <alignment horizontal="left"/>
    </xf>
    <xf numFmtId="0" fontId="25" fillId="0" borderId="42" xfId="0" applyFont="1" applyBorder="1" applyAlignment="1">
      <alignment horizontal="center" vertical="center"/>
    </xf>
    <xf numFmtId="1" fontId="25" fillId="0" borderId="42" xfId="0" applyNumberFormat="1" applyFont="1" applyBorder="1" applyAlignment="1">
      <alignment horizontal="center" vertical="center"/>
    </xf>
    <xf numFmtId="44" fontId="25" fillId="0" borderId="42" xfId="1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44" fontId="0" fillId="0" borderId="42" xfId="1" applyFont="1" applyFill="1" applyBorder="1" applyAlignment="1"/>
    <xf numFmtId="0" fontId="1" fillId="0" borderId="42" xfId="0" applyFont="1" applyBorder="1" applyAlignment="1">
      <alignment horizontal="center"/>
    </xf>
    <xf numFmtId="44" fontId="4" fillId="0" borderId="42" xfId="1" applyFont="1" applyFill="1" applyBorder="1"/>
    <xf numFmtId="0" fontId="25" fillId="0" borderId="0" xfId="0" applyFont="1"/>
    <xf numFmtId="0" fontId="25" fillId="10" borderId="0" xfId="0" applyFont="1" applyFill="1"/>
    <xf numFmtId="0" fontId="25" fillId="11" borderId="0" xfId="0" applyFont="1" applyFill="1"/>
    <xf numFmtId="0" fontId="25" fillId="12" borderId="0" xfId="0" applyFont="1" applyFill="1"/>
    <xf numFmtId="0" fontId="14" fillId="0" borderId="31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7" fontId="14" fillId="0" borderId="38" xfId="0" applyNumberFormat="1" applyFont="1" applyBorder="1" applyAlignment="1">
      <alignment horizontal="center" vertical="center" wrapText="1"/>
    </xf>
    <xf numFmtId="7" fontId="14" fillId="0" borderId="39" xfId="0" applyNumberFormat="1" applyFont="1" applyBorder="1" applyAlignment="1">
      <alignment horizontal="center" vertical="center" wrapText="1"/>
    </xf>
    <xf numFmtId="0" fontId="8" fillId="7" borderId="35" xfId="0" applyFont="1" applyFill="1" applyBorder="1" applyAlignment="1">
      <alignment horizontal="center" vertical="center" wrapText="1"/>
    </xf>
    <xf numFmtId="0" fontId="8" fillId="7" borderId="25" xfId="0" applyFont="1" applyFill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14" fillId="0" borderId="40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8" fillId="7" borderId="36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top"/>
    </xf>
    <xf numFmtId="14" fontId="10" fillId="0" borderId="11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25" fillId="9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 cent" xfId="2" builtinId="5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customschemas.google.com/relationships/workbookmetadata" Target="meta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[Inventory_Project.xlsm]Pivot Table(Item)!PivotTable3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Table(Item)'!$B$103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'Pivot Table(Item)'!$A$104:$A$116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Table(Item)'!$B$104:$B$116</c:f>
              <c:numCache>
                <c:formatCode>General</c:formatCode>
                <c:ptCount val="12"/>
                <c:pt idx="0">
                  <c:v>27748.402000000002</c:v>
                </c:pt>
                <c:pt idx="1">
                  <c:v>43186.164999999994</c:v>
                </c:pt>
                <c:pt idx="2">
                  <c:v>23755.644</c:v>
                </c:pt>
                <c:pt idx="3">
                  <c:v>70947.690000000017</c:v>
                </c:pt>
                <c:pt idx="4">
                  <c:v>19992.994999999999</c:v>
                </c:pt>
                <c:pt idx="5">
                  <c:v>36438.842000000004</c:v>
                </c:pt>
                <c:pt idx="6">
                  <c:v>25137.243999999999</c:v>
                </c:pt>
                <c:pt idx="7">
                  <c:v>61256.514000000003</c:v>
                </c:pt>
                <c:pt idx="8">
                  <c:v>14283.708999999999</c:v>
                </c:pt>
                <c:pt idx="9">
                  <c:v>2308.9</c:v>
                </c:pt>
                <c:pt idx="10">
                  <c:v>35787.4</c:v>
                </c:pt>
                <c:pt idx="11">
                  <c:v>48956.787660000002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8-46CB-A94A-0BE61CCEE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02379295"/>
        <c:axId val="2002376799"/>
        <c:axId val="0"/>
      </c:bar3DChart>
      <c:catAx>
        <c:axId val="200237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76799"/>
        <c:crosses val="autoZero"/>
        <c:auto val="1"/>
        <c:lblAlgn val="ctr"/>
        <c:lblOffset val="100"/>
        <c:noMultiLvlLbl val="0"/>
      </c:catAx>
      <c:valAx>
        <c:axId val="200237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7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[Inventory_Project.xlsm]Pivot Table(Item)!PivotTable4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Table(Item)'!$H$103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'Pivot Table(Item)'!$G$104:$G$116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Table(Item)'!$H$104:$H$116</c:f>
              <c:numCache>
                <c:formatCode>General</c:formatCode>
                <c:ptCount val="12"/>
                <c:pt idx="0">
                  <c:v>2765.7520000000004</c:v>
                </c:pt>
                <c:pt idx="1">
                  <c:v>4001.9649999999992</c:v>
                </c:pt>
                <c:pt idx="2">
                  <c:v>2268.6840000000007</c:v>
                </c:pt>
                <c:pt idx="3">
                  <c:v>6832.3200000000015</c:v>
                </c:pt>
                <c:pt idx="4">
                  <c:v>1797.7849999999994</c:v>
                </c:pt>
                <c:pt idx="5">
                  <c:v>3531.2420000000011</c:v>
                </c:pt>
                <c:pt idx="6">
                  <c:v>2426.6440000000002</c:v>
                </c:pt>
                <c:pt idx="7">
                  <c:v>4954.2240000000002</c:v>
                </c:pt>
                <c:pt idx="8">
                  <c:v>1209.7689999999996</c:v>
                </c:pt>
                <c:pt idx="9">
                  <c:v>230.8900000000001</c:v>
                </c:pt>
                <c:pt idx="10">
                  <c:v>3578.7400000000007</c:v>
                </c:pt>
                <c:pt idx="11">
                  <c:v>4479.0873600000004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D-4218-8ED2-41317697E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22628079"/>
        <c:axId val="1922625167"/>
        <c:axId val="0"/>
      </c:bar3DChart>
      <c:catAx>
        <c:axId val="19226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625167"/>
        <c:crosses val="autoZero"/>
        <c:auto val="1"/>
        <c:lblAlgn val="ctr"/>
        <c:lblOffset val="100"/>
        <c:noMultiLvlLbl val="0"/>
      </c:catAx>
      <c:valAx>
        <c:axId val="192262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62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[Inventory_Project.xlsm]Pivot Table(Item)!PivotTable6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quantity sold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Table(Item)'!$P$3:$P$4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Table(Item)'!$O$5:$O$88</c:f>
              <c:strCache>
                <c:ptCount val="83"/>
                <c:pt idx="0">
                  <c:v>ACER ASPIRE 5  I5-1135G7</c:v>
                </c:pt>
                <c:pt idx="1">
                  <c:v>ACER SWIFT 3 14" IPS FHD </c:v>
                </c:pt>
                <c:pt idx="2">
                  <c:v>ACER SWIFT 3 RYZEN 7-5700U</c:v>
                </c:pt>
                <c:pt idx="3">
                  <c:v>Acer Swift 5 Touch Laptop - Green</c:v>
                </c:pt>
                <c:pt idx="4">
                  <c:v>Alkova DEZI 56 Ceiling Fan </c:v>
                </c:pt>
                <c:pt idx="5">
                  <c:v>Alpha Motto Desk Fan 60 </c:v>
                </c:pt>
                <c:pt idx="6">
                  <c:v>ASUS LAPTOP 14 R3-3250U</c:v>
                </c:pt>
                <c:pt idx="7">
                  <c:v>ASUS LAPTOP 15 i5-1135G7</c:v>
                </c:pt>
                <c:pt idx="8">
                  <c:v>Asus Laptop E410M  </c:v>
                </c:pt>
                <c:pt idx="9">
                  <c:v>ASUS LAPTOP i5-1135G7</c:v>
                </c:pt>
                <c:pt idx="10">
                  <c:v>Beko 2-in-1 Cordless Vacuum </c:v>
                </c:pt>
                <c:pt idx="11">
                  <c:v>Beko 9KG Front Load Washer Inverter </c:v>
                </c:pt>
                <c:pt idx="12">
                  <c:v>Cornell 20L Tank 3 in 1 Vacuum Cleaner</c:v>
                </c:pt>
                <c:pt idx="13">
                  <c:v>Electrolux 25L Built-in Microwave with Grill </c:v>
                </c:pt>
                <c:pt idx="14">
                  <c:v>Electrolux Vacuum Cleaner Ease C4 </c:v>
                </c:pt>
                <c:pt idx="15">
                  <c:v>Haier 1.0HP R32 Non-Inverter Series</c:v>
                </c:pt>
                <c:pt idx="16">
                  <c:v>Haier 1.5HP R32 Non-Inverter Series</c:v>
                </c:pt>
                <c:pt idx="17">
                  <c:v>Haier 120L Single Door Refrigerator</c:v>
                </c:pt>
                <c:pt idx="18">
                  <c:v>Haier 14kg Fully Auto Top Load Washing Machine </c:v>
                </c:pt>
                <c:pt idx="19">
                  <c:v>Haier 2.0HP R32 Non-Inverter Series</c:v>
                </c:pt>
                <c:pt idx="20">
                  <c:v>Haier 540L 4 Door Series Refrigerator</c:v>
                </c:pt>
                <c:pt idx="21">
                  <c:v>Haier 8kg Front Load Washing Machine</c:v>
                </c:pt>
                <c:pt idx="22">
                  <c:v>Hisense 140L Single Door Refrigerator</c:v>
                </c:pt>
                <c:pt idx="23">
                  <c:v>Hitachi 14kg Top Loading Dual Jet Washing Machine </c:v>
                </c:pt>
                <c:pt idx="24">
                  <c:v>Hitachi 657L 4 Door Inverter Refrigerator</c:v>
                </c:pt>
                <c:pt idx="25">
                  <c:v>Hitachi 722L Vacuum Compartment Refrigerator</c:v>
                </c:pt>
                <c:pt idx="26">
                  <c:v>Houm 16" S16 Stand Fan (Walnut)</c:v>
                </c:pt>
                <c:pt idx="27">
                  <c:v>HP Laptop 14s-cf2040TX 14 Inch </c:v>
                </c:pt>
                <c:pt idx="28">
                  <c:v>HP Victus Laptop 16E0127AX</c:v>
                </c:pt>
                <c:pt idx="29">
                  <c:v>HUAWEI MateBook 14 Q3 AMD R5 4000X</c:v>
                </c:pt>
                <c:pt idx="30">
                  <c:v>HUAWEI MateBook D14 </c:v>
                </c:pt>
                <c:pt idx="31">
                  <c:v>Katana GF66</c:v>
                </c:pt>
                <c:pt idx="32">
                  <c:v>LG 13kg Top Load Washer with Smart Inverter </c:v>
                </c:pt>
                <c:pt idx="33">
                  <c:v>LG 48 inch A1 4K Smart SELF-LIT OLED TV with AI ThinQ®</c:v>
                </c:pt>
                <c:pt idx="34">
                  <c:v>LG 50 inch NANO75 NanoCell 4K Smart TV with AI ThinQ®</c:v>
                </c:pt>
                <c:pt idx="35">
                  <c:v>LG QNED99 86 Inch 8K Smart QNED MiniLED TV with AI ThinQ</c:v>
                </c:pt>
                <c:pt idx="36">
                  <c:v>Midea 16 Inch Table Fan </c:v>
                </c:pt>
                <c:pt idx="37">
                  <c:v>Panasonic 1.0HP R32 Inverter Air Conditioner PSN</c:v>
                </c:pt>
                <c:pt idx="38">
                  <c:v>Panasonic 1.0HP Standard Inverter R32 Air Conditioner PSN</c:v>
                </c:pt>
                <c:pt idx="39">
                  <c:v>Panasonic 1.0HP X-Deluxe Inverter R32 Air Conditioner PSN</c:v>
                </c:pt>
                <c:pt idx="40">
                  <c:v>Panasonic 1.5HP R32 Inverter Air Conditioner</c:v>
                </c:pt>
                <c:pt idx="41">
                  <c:v>Panasonic 2.0HP Standard Inverter R32 Air Conditioner PSN</c:v>
                </c:pt>
                <c:pt idx="42">
                  <c:v>Panasonic 2.5HP R32 Inverter Air Conditioner PSN</c:v>
                </c:pt>
                <c:pt idx="43">
                  <c:v>Panasonic 20L Microwave Oven </c:v>
                </c:pt>
                <c:pt idx="44">
                  <c:v>Panasonic 31L Inverter Grill Microwave Oven </c:v>
                </c:pt>
                <c:pt idx="45">
                  <c:v>Panasonic 358L 2 Door Inverter Bottom Freezer Refrigerator</c:v>
                </c:pt>
                <c:pt idx="46">
                  <c:v>Panasonic 358L 3 Door Inverter Bottom Freezer Refrigerator</c:v>
                </c:pt>
                <c:pt idx="47">
                  <c:v>Panasonic 422L 2-door Bottom Freezer Refrigerator White Glass Door</c:v>
                </c:pt>
                <c:pt idx="48">
                  <c:v>Panasonic 55 inch Series OLED 4K</c:v>
                </c:pt>
                <c:pt idx="49">
                  <c:v>Panasonic 58 inch Android UHD TV</c:v>
                </c:pt>
                <c:pt idx="50">
                  <c:v>Panasonic 65 inch Series OLED, 4K HDR Smart TV </c:v>
                </c:pt>
                <c:pt idx="51">
                  <c:v>Panasonic 8KG Top Load Washer </c:v>
                </c:pt>
                <c:pt idx="52">
                  <c:v>Panasonic Advanced MEGA Cyclone Bagless Vacuum Cleaner</c:v>
                </c:pt>
                <c:pt idx="53">
                  <c:v>Pensonic 16-Inch Stand Fan </c:v>
                </c:pt>
                <c:pt idx="54">
                  <c:v>Pensonic Toush Smart Laser Robot Vacuum </c:v>
                </c:pt>
                <c:pt idx="55">
                  <c:v>Philips 2000 Series Bagless Vacuum Cleaner</c:v>
                </c:pt>
                <c:pt idx="56">
                  <c:v>Philips 32-Inch Slim LED TV</c:v>
                </c:pt>
                <c:pt idx="57">
                  <c:v>Philips 50-Inch 4K UHD LED Android TV</c:v>
                </c:pt>
                <c:pt idx="58">
                  <c:v>Philips PowerPro Vacuum Cleaner and Mopping System </c:v>
                </c:pt>
                <c:pt idx="59">
                  <c:v>Samsung 1.0HP H-Inverter Premium</c:v>
                </c:pt>
                <c:pt idx="60">
                  <c:v>Samsung 12KG Top Load Washer with Wobble Technology™ </c:v>
                </c:pt>
                <c:pt idx="61">
                  <c:v>Samsung 28L Convection Microwave Oven with Slim Fry </c:v>
                </c:pt>
                <c:pt idx="62">
                  <c:v>Samsung 28L Solo Microwave Oven </c:v>
                </c:pt>
                <c:pt idx="63">
                  <c:v>Samsung 35L Convection Microwave Oven with HOT BLAST™ </c:v>
                </c:pt>
                <c:pt idx="64">
                  <c:v>Samsung 50 inch 4K Smart TV</c:v>
                </c:pt>
                <c:pt idx="65">
                  <c:v>SAMSUNG 65-inch Class Curved UHD TU-8300 Series - 4K</c:v>
                </c:pt>
                <c:pt idx="66">
                  <c:v>Samsung 670L Side by Side with Large Capacity Refrigerators</c:v>
                </c:pt>
                <c:pt idx="67">
                  <c:v>Samsung Powerbot Essential with Vacuum Cleaning &amp; Mopping</c:v>
                </c:pt>
                <c:pt idx="68">
                  <c:v>Sharp 1.0HP R32 Portable Air Conditioner SHP</c:v>
                </c:pt>
                <c:pt idx="69">
                  <c:v>Sharp 15KG Top Load Washing Machine </c:v>
                </c:pt>
                <c:pt idx="70">
                  <c:v>Sharp 16-Inch Stand Fan</c:v>
                </c:pt>
                <c:pt idx="71">
                  <c:v>Sharp 20L Microwave Oven </c:v>
                </c:pt>
                <c:pt idx="72">
                  <c:v>Sharp 2200W Bagless Vacuum Cleaner</c:v>
                </c:pt>
                <c:pt idx="73">
                  <c:v>Sharp 480L Pelican Refrigerator</c:v>
                </c:pt>
                <c:pt idx="74">
                  <c:v>Sharp 55-inch 4K UHD Smart TV</c:v>
                </c:pt>
                <c:pt idx="75">
                  <c:v>Sharp AQUOS 60 Inch 8K Resolution TV</c:v>
                </c:pt>
                <c:pt idx="76">
                  <c:v>SHARP J-Tech Inverter Plasmacluster Air Conditioner 1.5HP SHP</c:v>
                </c:pt>
                <c:pt idx="77">
                  <c:v>SHARP J-Tech Inverter Plasmacluster Air Conditioner 2.5HP SHP</c:v>
                </c:pt>
                <c:pt idx="78">
                  <c:v>Toshiba 11/7KG Front Load Real Inverter Washer Dryer </c:v>
                </c:pt>
                <c:pt idx="79">
                  <c:v>Toshiba 21L Microwave Oven </c:v>
                </c:pt>
                <c:pt idx="80">
                  <c:v>Toshiba 26L Microwave Oven With Convection Function </c:v>
                </c:pt>
                <c:pt idx="81">
                  <c:v>Toshiba 55 Inch C350 4K Android UHD TV</c:v>
                </c:pt>
                <c:pt idx="82">
                  <c:v>Toshiba 556L Multi-Door Dual Inverter Refrigerator</c:v>
                </c:pt>
              </c:strCache>
            </c:strRef>
          </c:cat>
          <c:val>
            <c:numRef>
              <c:f>'Pivot Table(Item)'!$P$5:$P$88</c:f>
              <c:numCache>
                <c:formatCode>General</c:formatCode>
                <c:ptCount val="8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13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3</c:v>
                </c:pt>
                <c:pt idx="52">
                  <c:v>2</c:v>
                </c:pt>
                <c:pt idx="53">
                  <c:v>10</c:v>
                </c:pt>
                <c:pt idx="54">
                  <c:v>5</c:v>
                </c:pt>
                <c:pt idx="55">
                  <c:v>5</c:v>
                </c:pt>
                <c:pt idx="56">
                  <c:v>3</c:v>
                </c:pt>
                <c:pt idx="57">
                  <c:v>4</c:v>
                </c:pt>
                <c:pt idx="58">
                  <c:v>2</c:v>
                </c:pt>
                <c:pt idx="59">
                  <c:v>5</c:v>
                </c:pt>
                <c:pt idx="60">
                  <c:v>1</c:v>
                </c:pt>
                <c:pt idx="61">
                  <c:v>5</c:v>
                </c:pt>
                <c:pt idx="62">
                  <c:v>3</c:v>
                </c:pt>
                <c:pt idx="63">
                  <c:v>3</c:v>
                </c:pt>
                <c:pt idx="64">
                  <c:v>4</c:v>
                </c:pt>
                <c:pt idx="65">
                  <c:v>3</c:v>
                </c:pt>
                <c:pt idx="66">
                  <c:v>2</c:v>
                </c:pt>
                <c:pt idx="67">
                  <c:v>8</c:v>
                </c:pt>
                <c:pt idx="68">
                  <c:v>1</c:v>
                </c:pt>
                <c:pt idx="69">
                  <c:v>2</c:v>
                </c:pt>
                <c:pt idx="70">
                  <c:v>10</c:v>
                </c:pt>
                <c:pt idx="71">
                  <c:v>7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8</c:v>
                </c:pt>
                <c:pt idx="80">
                  <c:v>4</c:v>
                </c:pt>
                <c:pt idx="81">
                  <c:v>1</c:v>
                </c:pt>
                <c:pt idx="8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E-4299-A39B-0F8BAFFA1C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02375135"/>
        <c:axId val="2002385119"/>
      </c:barChart>
      <c:catAx>
        <c:axId val="2002375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85119"/>
        <c:crosses val="autoZero"/>
        <c:auto val="1"/>
        <c:lblAlgn val="ctr"/>
        <c:lblOffset val="100"/>
        <c:noMultiLvlLbl val="0"/>
      </c:catAx>
      <c:valAx>
        <c:axId val="2002385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375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11</xdr:row>
          <xdr:rowOff>241300</xdr:rowOff>
        </xdr:from>
        <xdr:to>
          <xdr:col>13</xdr:col>
          <xdr:colOff>520700</xdr:colOff>
          <xdr:row>12</xdr:row>
          <xdr:rowOff>431800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mbria" pitchFamily="1" charset="0"/>
                </a:rPr>
                <a:t>Confirm 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152400</xdr:rowOff>
        </xdr:from>
        <xdr:to>
          <xdr:col>13</xdr:col>
          <xdr:colOff>533400</xdr:colOff>
          <xdr:row>16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mbria" pitchFamily="1" charset="0"/>
                </a:rPr>
                <a:t>Clear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87</xdr:row>
          <xdr:rowOff>38100</xdr:rowOff>
        </xdr:from>
        <xdr:to>
          <xdr:col>1</xdr:col>
          <xdr:colOff>1143000</xdr:colOff>
          <xdr:row>89</xdr:row>
          <xdr:rowOff>139700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Item 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1270000</xdr:colOff>
          <xdr:row>87</xdr:row>
          <xdr:rowOff>25400</xdr:rowOff>
        </xdr:from>
        <xdr:to>
          <xdr:col>1</xdr:col>
          <xdr:colOff>2590800</xdr:colOff>
          <xdr:row>89</xdr:row>
          <xdr:rowOff>139700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Montly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2705100</xdr:colOff>
          <xdr:row>87</xdr:row>
          <xdr:rowOff>25400</xdr:rowOff>
        </xdr:from>
        <xdr:to>
          <xdr:col>1</xdr:col>
          <xdr:colOff>4025900</xdr:colOff>
          <xdr:row>89</xdr:row>
          <xdr:rowOff>139700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Montly Profits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6</xdr:row>
          <xdr:rowOff>0</xdr:rowOff>
        </xdr:from>
        <xdr:to>
          <xdr:col>13</xdr:col>
          <xdr:colOff>1231900</xdr:colOff>
          <xdr:row>9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Pivot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116</xdr:row>
      <xdr:rowOff>144780</xdr:rowOff>
    </xdr:from>
    <xdr:to>
      <xdr:col>3</xdr:col>
      <xdr:colOff>22860</xdr:colOff>
      <xdr:row>136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116</xdr:row>
      <xdr:rowOff>171450</xdr:rowOff>
    </xdr:from>
    <xdr:to>
      <xdr:col>9</xdr:col>
      <xdr:colOff>1303020</xdr:colOff>
      <xdr:row>136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601980</xdr:colOff>
      <xdr:row>1</xdr:row>
      <xdr:rowOff>175259</xdr:rowOff>
    </xdr:from>
    <xdr:to>
      <xdr:col>38</xdr:col>
      <xdr:colOff>22860</xdr:colOff>
      <xdr:row>66</xdr:row>
      <xdr:rowOff>9071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2a329bc239b7b7a/Desktop/FAST%20BWA/3BWA_1/BWA33002%20-%20Industrial%20Computing%20Tools%20(Sir%20Lee%20Siaw%20Chong)/Project2/Attendance_Project.xlsm" TargetMode="External"/><Relationship Id="rId1" Type="http://schemas.openxmlformats.org/officeDocument/2006/relationships/externalLinkPath" Target="Attendance_Proje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sk for each group"/>
      <sheetName val="Staff Info"/>
      <sheetName val="Attendance (Master)"/>
      <sheetName val="Analysis"/>
      <sheetName val="Jan"/>
      <sheetName val="Feb"/>
      <sheetName val="Mar"/>
      <sheetName val="Apr"/>
      <sheetName val="Mei"/>
      <sheetName val="June"/>
      <sheetName val="July"/>
      <sheetName val="August"/>
      <sheetName val="Sept"/>
      <sheetName val="Oct"/>
      <sheetName val="Nov"/>
      <sheetName val="Dec"/>
    </sheetNames>
    <definedNames>
      <definedName name="StaffID" refersTo="='Staff Info'!$B$2:$B$46"/>
    </definedNames>
    <sheetDataSet>
      <sheetData sheetId="0">
        <row r="2">
          <cell r="B2" t="str">
            <v>In the Attendance workbook (shared between all groups)</v>
          </cell>
        </row>
        <row r="3">
          <cell r="B3" t="str">
            <v>Fill in the staff info first, each group fill in 5 sales person</v>
          </cell>
        </row>
        <row r="4">
          <cell r="B4" t="str">
            <v>Then fill in the time each sales person check in/ out</v>
          </cell>
        </row>
        <row r="5">
          <cell r="B5" t="str">
            <v>In the Inventory workbook (shared between all groups)</v>
          </cell>
        </row>
        <row r="6">
          <cell r="B6" t="str">
            <v>Each group create at least 20 inventory items</v>
          </cell>
        </row>
        <row r="7">
          <cell r="B7" t="str">
            <v>For example, Group 1 TV only, Group 2 Refrigerator only</v>
          </cell>
        </row>
        <row r="8">
          <cell r="B8" t="str">
            <v>When you have all data, create at least 100 sales (each group do by their own)</v>
          </cell>
        </row>
      </sheetData>
      <sheetData sheetId="1">
        <row r="2">
          <cell r="B2" t="str">
            <v>AW190090</v>
          </cell>
        </row>
        <row r="3">
          <cell r="B3" t="str">
            <v>AW190193</v>
          </cell>
        </row>
        <row r="4">
          <cell r="B4" t="str">
            <v>AW190164</v>
          </cell>
        </row>
        <row r="5">
          <cell r="B5" t="str">
            <v>AW190039</v>
          </cell>
        </row>
        <row r="6">
          <cell r="B6" t="str">
            <v>AW190060</v>
          </cell>
        </row>
        <row r="7">
          <cell r="B7" t="str">
            <v>AW190043</v>
          </cell>
        </row>
        <row r="8">
          <cell r="B8" t="str">
            <v>AW190220</v>
          </cell>
        </row>
        <row r="9">
          <cell r="B9" t="str">
            <v>AW190067</v>
          </cell>
        </row>
        <row r="10">
          <cell r="B10" t="str">
            <v>AW190110</v>
          </cell>
        </row>
        <row r="11">
          <cell r="B11" t="str">
            <v>AW190100</v>
          </cell>
        </row>
        <row r="12">
          <cell r="B12" t="str">
            <v>AW190001</v>
          </cell>
        </row>
        <row r="13">
          <cell r="B13" t="str">
            <v>DW190036</v>
          </cell>
        </row>
        <row r="14">
          <cell r="B14" t="str">
            <v>AW190197</v>
          </cell>
        </row>
        <row r="15">
          <cell r="B15" t="str">
            <v>AW190140</v>
          </cell>
        </row>
        <row r="16">
          <cell r="B16" t="str">
            <v>AW190148</v>
          </cell>
        </row>
        <row r="17">
          <cell r="B17" t="str">
            <v>AW190199</v>
          </cell>
        </row>
        <row r="18">
          <cell r="B18" t="str">
            <v>AW190217</v>
          </cell>
        </row>
        <row r="19">
          <cell r="B19" t="str">
            <v>AW190177</v>
          </cell>
        </row>
        <row r="20">
          <cell r="B20" t="str">
            <v>AW190185</v>
          </cell>
        </row>
        <row r="21">
          <cell r="B21" t="str">
            <v>AW190147</v>
          </cell>
        </row>
        <row r="22">
          <cell r="B22" t="str">
            <v>AW190234</v>
          </cell>
        </row>
        <row r="23">
          <cell r="B23" t="str">
            <v>AW190152</v>
          </cell>
        </row>
        <row r="24">
          <cell r="B24" t="str">
            <v>AW190166</v>
          </cell>
        </row>
        <row r="25">
          <cell r="B25" t="str">
            <v>AW190202</v>
          </cell>
        </row>
        <row r="26">
          <cell r="B26" t="str">
            <v>AW190210</v>
          </cell>
        </row>
        <row r="27">
          <cell r="B27" t="str">
            <v>AW190188</v>
          </cell>
        </row>
        <row r="28">
          <cell r="B28" t="str">
            <v>AW190212</v>
          </cell>
        </row>
        <row r="29">
          <cell r="B29" t="str">
            <v>AW190203</v>
          </cell>
        </row>
        <row r="30">
          <cell r="B30" t="str">
            <v>AW190189</v>
          </cell>
        </row>
        <row r="31">
          <cell r="B31" t="str">
            <v>AW190159</v>
          </cell>
        </row>
        <row r="32">
          <cell r="B32" t="str">
            <v>Aw190019</v>
          </cell>
        </row>
        <row r="33">
          <cell r="B33" t="str">
            <v>AW190087</v>
          </cell>
        </row>
        <row r="34">
          <cell r="B34" t="str">
            <v>Aw190092</v>
          </cell>
        </row>
        <row r="35">
          <cell r="B35" t="str">
            <v>AW180135</v>
          </cell>
        </row>
        <row r="36">
          <cell r="B36" t="str">
            <v>AW180137</v>
          </cell>
        </row>
        <row r="37">
          <cell r="B37" t="str">
            <v>AW190096</v>
          </cell>
        </row>
        <row r="38">
          <cell r="B38" t="str">
            <v>AW180124</v>
          </cell>
        </row>
        <row r="39">
          <cell r="B39" t="str">
            <v>AW190206</v>
          </cell>
        </row>
        <row r="40">
          <cell r="B40" t="str">
            <v>AW180140</v>
          </cell>
        </row>
        <row r="41">
          <cell r="B41" t="str">
            <v>AW190074</v>
          </cell>
        </row>
        <row r="42">
          <cell r="B42" t="str">
            <v>AW190057</v>
          </cell>
        </row>
        <row r="43">
          <cell r="B43" t="str">
            <v>AW190093</v>
          </cell>
        </row>
        <row r="44">
          <cell r="B44" t="str">
            <v>AW180075</v>
          </cell>
        </row>
        <row r="45">
          <cell r="B45" t="str">
            <v>AW190025</v>
          </cell>
        </row>
        <row r="46">
          <cell r="B46" t="str">
            <v>AW190113</v>
          </cell>
        </row>
      </sheetData>
      <sheetData sheetId="2">
        <row r="3">
          <cell r="B3" t="str">
            <v>AW190090</v>
          </cell>
        </row>
        <row r="4">
          <cell r="B4" t="str">
            <v>AW190193</v>
          </cell>
        </row>
        <row r="5">
          <cell r="B5" t="str">
            <v>AW190164</v>
          </cell>
        </row>
        <row r="6">
          <cell r="B6" t="str">
            <v>AW190039</v>
          </cell>
        </row>
        <row r="7">
          <cell r="B7" t="str">
            <v>AW190060</v>
          </cell>
        </row>
        <row r="8">
          <cell r="B8" t="str">
            <v>AW190043</v>
          </cell>
        </row>
        <row r="9">
          <cell r="B9" t="str">
            <v>AW190220</v>
          </cell>
        </row>
        <row r="10">
          <cell r="B10" t="str">
            <v>AW190067</v>
          </cell>
        </row>
        <row r="11">
          <cell r="B11" t="str">
            <v>AW190110</v>
          </cell>
        </row>
        <row r="12">
          <cell r="B12" t="str">
            <v>AW190100</v>
          </cell>
        </row>
        <row r="13">
          <cell r="B13" t="str">
            <v>AW190001</v>
          </cell>
        </row>
        <row r="14">
          <cell r="B14" t="str">
            <v>DW190036</v>
          </cell>
        </row>
        <row r="15">
          <cell r="B15" t="str">
            <v>AW190197</v>
          </cell>
        </row>
        <row r="16">
          <cell r="B16" t="str">
            <v>AW190140</v>
          </cell>
        </row>
        <row r="17">
          <cell r="B17" t="str">
            <v>AW190148</v>
          </cell>
        </row>
        <row r="18">
          <cell r="B18" t="str">
            <v>AW190199</v>
          </cell>
        </row>
        <row r="19">
          <cell r="B19" t="str">
            <v>AW190217</v>
          </cell>
        </row>
        <row r="20">
          <cell r="B20" t="str">
            <v>AW190177</v>
          </cell>
        </row>
        <row r="21">
          <cell r="B21" t="str">
            <v>AW190185</v>
          </cell>
        </row>
        <row r="22">
          <cell r="B22" t="str">
            <v>AW190147</v>
          </cell>
        </row>
        <row r="23">
          <cell r="B23" t="str">
            <v>AW190234</v>
          </cell>
        </row>
        <row r="24">
          <cell r="B24" t="str">
            <v>AW190152</v>
          </cell>
        </row>
        <row r="25">
          <cell r="B25" t="str">
            <v>AW190166</v>
          </cell>
        </row>
        <row r="26">
          <cell r="B26" t="str">
            <v>AW190202</v>
          </cell>
        </row>
        <row r="27">
          <cell r="B27" t="str">
            <v>AW190210</v>
          </cell>
        </row>
        <row r="28">
          <cell r="B28" t="str">
            <v>AW190188</v>
          </cell>
        </row>
        <row r="29">
          <cell r="B29" t="str">
            <v>AW190212</v>
          </cell>
        </row>
        <row r="30">
          <cell r="B30" t="str">
            <v>AW190203</v>
          </cell>
        </row>
        <row r="31">
          <cell r="B31" t="str">
            <v>AW190189</v>
          </cell>
        </row>
        <row r="32">
          <cell r="B32" t="str">
            <v>AW190159</v>
          </cell>
        </row>
        <row r="33">
          <cell r="B33" t="str">
            <v>Aw190019</v>
          </cell>
        </row>
        <row r="34">
          <cell r="B34" t="str">
            <v>AW190087</v>
          </cell>
        </row>
        <row r="35">
          <cell r="B35" t="str">
            <v>Aw190092</v>
          </cell>
        </row>
        <row r="36">
          <cell r="B36" t="str">
            <v>AW180135</v>
          </cell>
        </row>
        <row r="37">
          <cell r="B37" t="str">
            <v>AW180137</v>
          </cell>
        </row>
        <row r="38">
          <cell r="B38" t="str">
            <v>AW190096</v>
          </cell>
        </row>
        <row r="39">
          <cell r="B39" t="str">
            <v>AW180124</v>
          </cell>
        </row>
        <row r="40">
          <cell r="B40" t="str">
            <v>AW190206</v>
          </cell>
        </row>
        <row r="41">
          <cell r="B41" t="str">
            <v>AW180140</v>
          </cell>
        </row>
        <row r="42">
          <cell r="B42" t="str">
            <v>AW190074</v>
          </cell>
        </row>
        <row r="43">
          <cell r="B43" t="str">
            <v>AW190057</v>
          </cell>
        </row>
        <row r="44">
          <cell r="B44" t="str">
            <v>AW190093</v>
          </cell>
        </row>
        <row r="45">
          <cell r="B45" t="str">
            <v>AW180075</v>
          </cell>
        </row>
        <row r="46">
          <cell r="B46" t="str">
            <v>AW190025</v>
          </cell>
        </row>
      </sheetData>
      <sheetData sheetId="3">
        <row r="3">
          <cell r="B3" t="str">
            <v>AW190090</v>
          </cell>
        </row>
        <row r="4">
          <cell r="B4" t="str">
            <v>AW190193</v>
          </cell>
        </row>
        <row r="5">
          <cell r="B5" t="str">
            <v>AW190164</v>
          </cell>
        </row>
        <row r="6">
          <cell r="B6" t="str">
            <v>AW190039</v>
          </cell>
        </row>
        <row r="7">
          <cell r="B7" t="str">
            <v>AW190060</v>
          </cell>
        </row>
        <row r="8">
          <cell r="B8" t="str">
            <v>AW190043</v>
          </cell>
        </row>
        <row r="9">
          <cell r="B9" t="str">
            <v>AW190220</v>
          </cell>
        </row>
        <row r="10">
          <cell r="B10" t="str">
            <v>AW190067</v>
          </cell>
        </row>
        <row r="11">
          <cell r="B11" t="str">
            <v>AW190110</v>
          </cell>
        </row>
        <row r="12">
          <cell r="B12" t="str">
            <v>AW190100</v>
          </cell>
        </row>
        <row r="13">
          <cell r="B13" t="str">
            <v>AW190001</v>
          </cell>
        </row>
        <row r="14">
          <cell r="B14" t="str">
            <v>DW190036</v>
          </cell>
        </row>
        <row r="15">
          <cell r="B15" t="str">
            <v>AW190197</v>
          </cell>
        </row>
        <row r="16">
          <cell r="B16" t="str">
            <v>AW190140</v>
          </cell>
        </row>
        <row r="17">
          <cell r="B17" t="str">
            <v>AW190148</v>
          </cell>
        </row>
        <row r="18">
          <cell r="B18" t="str">
            <v>AW190199</v>
          </cell>
        </row>
        <row r="19">
          <cell r="B19" t="str">
            <v>AW190217</v>
          </cell>
        </row>
        <row r="20">
          <cell r="B20" t="str">
            <v>AW190177</v>
          </cell>
        </row>
        <row r="21">
          <cell r="B21" t="str">
            <v>AW190185</v>
          </cell>
        </row>
        <row r="22">
          <cell r="B22" t="str">
            <v>AW190147</v>
          </cell>
        </row>
        <row r="23">
          <cell r="B23" t="str">
            <v>AW190234</v>
          </cell>
        </row>
        <row r="24">
          <cell r="B24" t="str">
            <v>AW190152</v>
          </cell>
        </row>
        <row r="25">
          <cell r="B25" t="str">
            <v>AW190166</v>
          </cell>
        </row>
        <row r="26">
          <cell r="B26" t="str">
            <v>AW190202</v>
          </cell>
        </row>
        <row r="27">
          <cell r="B27" t="str">
            <v>AW190210</v>
          </cell>
        </row>
        <row r="28">
          <cell r="B28" t="str">
            <v>AW190188</v>
          </cell>
        </row>
        <row r="29">
          <cell r="B29" t="str">
            <v>AW190212</v>
          </cell>
        </row>
        <row r="30">
          <cell r="B30" t="str">
            <v>AW190203</v>
          </cell>
        </row>
        <row r="31">
          <cell r="B31" t="str">
            <v>AW190189</v>
          </cell>
        </row>
        <row r="32">
          <cell r="B32" t="str">
            <v>AW190159</v>
          </cell>
        </row>
        <row r="33">
          <cell r="B33" t="str">
            <v>Aw190019</v>
          </cell>
        </row>
        <row r="34">
          <cell r="B34" t="str">
            <v>AW190087</v>
          </cell>
        </row>
        <row r="35">
          <cell r="B35" t="str">
            <v>Aw190092</v>
          </cell>
        </row>
        <row r="36">
          <cell r="B36" t="str">
            <v>AW180135</v>
          </cell>
        </row>
        <row r="37">
          <cell r="B37" t="str">
            <v>AW180137</v>
          </cell>
        </row>
        <row r="38">
          <cell r="B38" t="str">
            <v>AW190096</v>
          </cell>
        </row>
        <row r="39">
          <cell r="B39" t="str">
            <v>AW180124</v>
          </cell>
        </row>
        <row r="40">
          <cell r="B40" t="str">
            <v>AW190206</v>
          </cell>
        </row>
        <row r="41">
          <cell r="B41" t="str">
            <v>AW180140</v>
          </cell>
        </row>
        <row r="42">
          <cell r="B42" t="str">
            <v>AW190074</v>
          </cell>
        </row>
        <row r="43">
          <cell r="B43" t="str">
            <v>AW190057</v>
          </cell>
        </row>
        <row r="44">
          <cell r="B44" t="str">
            <v>AW190093</v>
          </cell>
        </row>
        <row r="45">
          <cell r="B45" t="str">
            <v>AW180075</v>
          </cell>
        </row>
        <row r="46">
          <cell r="B46" t="str">
            <v>AW190025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 Ooi" refreshedDate="44608.860756712966" createdVersion="7" refreshedVersion="7" minRefreshableVersion="3" recordCount="100" xr:uid="{6F1EC9F9-5424-4A33-9757-14AE7FE72AE2}">
  <cacheSource type="worksheet">
    <worksheetSource ref="G1:J101" sheet="Sales Performance"/>
  </cacheSource>
  <cacheFields count="4">
    <cacheField name="Item" numFmtId="0">
      <sharedItems count="83">
        <s v="Samsung 1.0HP H-Inverter Premium"/>
        <s v="Pensonic Toush Smart Laser Robot Vacuum "/>
        <s v="Haier 14kg Fully Auto Top Load Washing Machine "/>
        <s v="Cornell 20L Tank 3 in 1 Vacuum Cleaner"/>
        <s v="SHARP J-Tech Inverter Plasmacluster Air Conditioner 2.5HP SHP"/>
        <s v="Houm 16&quot; S16 Stand Fan (Walnut)"/>
        <s v="Toshiba 55 Inch C350 4K Android UHD TV"/>
        <s v="Panasonic 1.0HP Standard Inverter R32 Air Conditioner PSN"/>
        <s v="Philips 50-Inch 4K UHD LED Android TV"/>
        <s v="Midea 16 Inch Table Fan "/>
        <s v="Philips 32-Inch Slim LED TV"/>
        <s v="Sharp 20L Microwave Oven "/>
        <s v="Samsung 28L Convection Microwave Oven with Slim Fry "/>
        <s v="Hitachi 14kg Top Loading Dual Jet Washing Machine "/>
        <s v="Panasonic 358L 3 Door Inverter Bottom Freezer Refrigerator"/>
        <s v="Haier 1.5HP R32 Non-Inverter Series"/>
        <s v="Hitachi 657L 4 Door Inverter Refrigerator"/>
        <s v="Panasonic 422L 2-door Bottom Freezer Refrigerator White Glass Door"/>
        <s v="Sharp 55-inch 4K UHD Smart TV"/>
        <s v="ASUS LAPTOP 15 i5-1135G7"/>
        <s v="Panasonic 2.5HP R32 Inverter Air Conditioner PSN"/>
        <s v="HP Laptop 14s-cf2040TX 14 Inch "/>
        <s v="Philips PowerPro Vacuum Cleaner and Mopping System "/>
        <s v="Samsung Powerbot Essential with Vacuum Cleaning &amp; Mopping"/>
        <s v="Panasonic 55 inch Series OLED 4K"/>
        <s v="Panasonic 358L 2 Door Inverter Bottom Freezer Refrigerator"/>
        <s v="Acer Swift 5 Touch Laptop - Green"/>
        <s v="Beko 9KG Front Load Washer Inverter "/>
        <s v="LG 50 inch NANO75 NanoCell 4K Smart TV with AI ThinQ®"/>
        <s v="Panasonic 1.5HP R32 Inverter Air Conditioner"/>
        <s v="ASUS LAPTOP 14 R3-3250U"/>
        <s v="Sharp 480L Pelican Refrigerator"/>
        <s v="Samsung 12KG Top Load Washer with Wobble Technology™ "/>
        <s v="Sharp 16-Inch Stand Fan"/>
        <s v="Asus Laptop E410M  "/>
        <s v="Samsung 50 inch 4K Smart TV"/>
        <s v="Panasonic 8KG Top Load Washer "/>
        <s v="Panasonic 1.0HP X-Deluxe Inverter R32 Air Conditioner PSN"/>
        <s v="Toshiba 556L Multi-Door Dual Inverter Refrigerator"/>
        <s v="Pensonic 16-Inch Stand Fan "/>
        <s v="HUAWEI MateBook 14 Q3 AMD R5 4000X"/>
        <s v="Samsung 28L Solo Microwave Oven "/>
        <s v="Toshiba 21L Microwave Oven "/>
        <s v="Alkova DEZI 56 Ceiling Fan "/>
        <s v="Samsung 670L Side by Side with Large Capacity Refrigerators"/>
        <s v="Haier 540L 4 Door Series Refrigerator"/>
        <s v="ACER SWIFT 3 14&quot; IPS FHD "/>
        <s v="Philips 2000 Series Bagless Vacuum Cleaner"/>
        <s v="Haier 1.0HP R32 Non-Inverter Series"/>
        <s v="Katana GF66"/>
        <s v="HUAWEI MateBook D14 "/>
        <s v="Sharp 1.0HP R32 Portable Air Conditioner SHP"/>
        <s v="Panasonic 58 inch Android UHD TV"/>
        <s v="LG 48 inch A1 4K Smart SELF-LIT OLED TV with AI ThinQ®"/>
        <s v="Alpha Motto Desk Fan 60 "/>
        <s v="LG QNED99 86 Inch 8K Smart QNED MiniLED TV with AI ThinQ"/>
        <s v="ACER SWIFT 3 RYZEN 7-5700U"/>
        <s v="Panasonic 1.0HP R32 Inverter Air Conditioner PSN"/>
        <s v="ACER ASPIRE 5  I5-1135G7"/>
        <s v="ASUS LAPTOP i5-1135G7"/>
        <s v="Panasonic Advanced MEGA Cyclone Bagless Vacuum Cleaner"/>
        <s v="Electrolux Vacuum Cleaner Ease C4 "/>
        <s v="Panasonic 20L Microwave Oven "/>
        <s v="Beko 2-in-1 Cordless Vacuum "/>
        <s v="Electrolux 25L Built-in Microwave with Grill "/>
        <s v="HP Victus Laptop 16E0127AX"/>
        <s v="SHARP J-Tech Inverter Plasmacluster Air Conditioner 1.5HP SHP"/>
        <s v="Haier 120L Single Door Refrigerator"/>
        <s v="Samsung 35L Convection Microwave Oven with HOT BLAST™ "/>
        <s v="Hitachi 722L Vacuum Compartment Refrigerator"/>
        <s v="Toshiba 11/7KG Front Load Real Inverter Washer Dryer "/>
        <s v="Sharp 2200W Bagless Vacuum Cleaner"/>
        <s v="Hisense 140L Single Door Refrigerator"/>
        <s v="LG 13kg Top Load Washer with Smart Inverter "/>
        <s v="Toshiba 26L Microwave Oven With Convection Function "/>
        <s v="Sharp AQUOS 60 Inch 8K Resolution TV"/>
        <s v="Panasonic 2.0HP Standard Inverter R32 Air Conditioner PSN"/>
        <s v="Panasonic 65 inch Series OLED, 4K HDR Smart TV "/>
        <s v="Panasonic 31L Inverter Grill Microwave Oven "/>
        <s v="Haier 2.0HP R32 Non-Inverter Series"/>
        <s v="SAMSUNG 65-inch Class Curved UHD TU-8300 Series - 4K"/>
        <s v="Haier 8kg Front Load Washing Machine"/>
        <s v="Sharp 15KG Top Load Washing Machine "/>
      </sharedItems>
    </cacheField>
    <cacheField name="Quantity Sold" numFmtId="0">
      <sharedItems containsSemiMixedTypes="0" containsString="0" containsNumber="1" containsInteger="1" minValue="1" maxValue="10"/>
    </cacheField>
    <cacheField name="Sales" numFmtId="44">
      <sharedItems containsSemiMixedTypes="0" containsString="0" containsNumber="1" minValue="494.80199999999996" maxValue="36276.932999999997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 Ooi" refreshedDate="44608.861225694447" createdVersion="7" refreshedVersion="7" minRefreshableVersion="3" recordCount="100" xr:uid="{1FBFE92E-65B0-4585-8A96-1D2E3564F961}">
  <cacheSource type="worksheet">
    <worksheetSource ref="O1:P101" sheet="Sales Performance"/>
  </cacheSource>
  <cacheFields count="2">
    <cacheField name="Profit" numFmtId="44">
      <sharedItems containsSemiMixedTypes="0" containsString="0" containsNumber="1" minValue="40.391999999999975" maxValue="2617.9230000000016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 Ooi" refreshedDate="44608.87020902778" createdVersion="7" refreshedVersion="7" minRefreshableVersion="3" recordCount="83" xr:uid="{336130CE-611A-4FED-B4BB-52B174CAEC16}">
  <cacheSource type="worksheet">
    <worksheetSource ref="B1:C84" sheet="Sales Performance"/>
  </cacheSource>
  <cacheFields count="2">
    <cacheField name="Item" numFmtId="0">
      <sharedItems count="83">
        <s v="LG QNED99 86 Inch 8K Smart QNED MiniLED TV with AI ThinQ"/>
        <s v="Panasonic 65 inch Series OLED, 4K HDR Smart TV "/>
        <s v="Hitachi 722L Vacuum Compartment Refrigerator"/>
        <s v="Samsung Powerbot Essential with Vacuum Cleaning &amp; Mopping"/>
        <s v="Hitachi 657L 4 Door Inverter Refrigerator"/>
        <s v="Samsung 670L Side by Side with Large Capacity Refrigerators"/>
        <s v="Toshiba 556L Multi-Door Dual Inverter Refrigerator"/>
        <s v="Beko 9KG Front Load Washer Inverter "/>
        <s v="Philips 50-Inch 4K UHD LED Android TV"/>
        <s v="ACER SWIFT 3 14&quot; IPS FHD "/>
        <s v="Panasonic 55 inch Series OLED 4K"/>
        <s v="Sharp AQUOS 60 Inch 8K Resolution TV"/>
        <s v="LG 48 inch A1 4K Smart SELF-LIT OLED TV with AI ThinQ®"/>
        <s v="Haier 8kg Front Load Washing Machine"/>
        <s v="Haier 120L Single Door Refrigerator"/>
        <s v="Haier 540L 4 Door Series Refrigerator"/>
        <s v="HUAWEI MateBook 14 Q3 AMD R5 4000X"/>
        <s v="Pensonic Toush Smart Laser Robot Vacuum "/>
        <s v="ASUS LAPTOP 15 i5-1135G7"/>
        <s v="Katana GF66"/>
        <s v="Samsung 35L Convection Microwave Oven with HOT BLAST™ "/>
        <s v="Sharp 55-inch 4K UHD Smart TV"/>
        <s v="Sharp 480L Pelican Refrigerator"/>
        <s v="Samsung 1.0HP H-Inverter Premium"/>
        <s v="Panasonic 1.5HP R32 Inverter Air Conditioner"/>
        <s v="Panasonic 2.5HP R32 Inverter Air Conditioner PSN"/>
        <s v="Panasonic 358L 2 Door Inverter Bottom Freezer Refrigerator"/>
        <s v="Panasonic 358L 3 Door Inverter Bottom Freezer Refrigerator"/>
        <s v="ASUS LAPTOP 14 R3-3250U"/>
        <s v="HUAWEI MateBook D14 "/>
        <s v="Samsung 28L Convection Microwave Oven with Slim Fry "/>
        <s v="Acer Swift 5 Touch Laptop - Green"/>
        <s v="Panasonic 1.0HP R32 Inverter Air Conditioner PSN"/>
        <s v="ACER SWIFT 3 RYZEN 7-5700U"/>
        <s v="HP Victus Laptop 16E0127AX"/>
        <s v="Asus Laptop E410M  "/>
        <s v="SHARP J-Tech Inverter Plasmacluster Air Conditioner 2.5HP SHP"/>
        <s v="Toshiba 11/7KG Front Load Real Inverter Washer Dryer "/>
        <s v="Haier 14kg Fully Auto Top Load Washing Machine "/>
        <s v="Panasonic 1.0HP X-Deluxe Inverter R32 Air Conditioner PSN"/>
        <s v="LG 50 inch NANO75 NanoCell 4K Smart TV with AI ThinQ®"/>
        <s v="Sharp 15KG Top Load Washing Machine "/>
        <s v="Toshiba 26L Microwave Oven With Convection Function "/>
        <s v="Panasonic 2.0HP Standard Inverter R32 Air Conditioner PSN"/>
        <s v="Panasonic 8KG Top Load Washer "/>
        <s v="Panasonic 58 inch Android UHD TV"/>
        <s v="Panasonic 1.0HP Standard Inverter R32 Air Conditioner PSN"/>
        <s v="ACER ASPIRE 5  I5-1135G7"/>
        <s v="Alkova DEZI 56 Ceiling Fan "/>
        <s v="HP Laptop 14s-cf2040TX 14 Inch "/>
        <s v="Haier 1.5HP R32 Non-Inverter Series"/>
        <s v="Panasonic 422L 2-door Bottom Freezer Refrigerator White Glass Door"/>
        <s v="Toshiba 21L Microwave Oven "/>
        <s v="ASUS LAPTOP i5-1135G7"/>
        <s v="Philips 32-Inch Slim LED TV"/>
        <s v="Toshiba 55 Inch C350 4K Android UHD TV"/>
        <s v="Hitachi 14kg Top Loading Dual Jet Washing Machine "/>
        <s v="Philips PowerPro Vacuum Cleaner and Mopping System "/>
        <s v="Haier 2.0HP R32 Non-Inverter Series"/>
        <s v="SHARP J-Tech Inverter Plasmacluster Air Conditioner 1.5HP SHP"/>
        <s v="Electrolux 25L Built-in Microwave with Grill "/>
        <s v="Samsung 50 inch 4K Smart TV"/>
        <s v="Philips 2000 Series Bagless Vacuum Cleaner"/>
        <s v="SAMSUNG 65-inch Class Curved UHD TU-8300 Series - 4K"/>
        <s v="Sharp 20L Microwave Oven "/>
        <s v="Sharp 16-Inch Stand Fan"/>
        <s v="Panasonic 20L Microwave Oven "/>
        <s v="Samsung 12KG Top Load Washer with Wobble Technology™ "/>
        <s v="LG 13kg Top Load Washer with Smart Inverter "/>
        <s v="Samsung 28L Solo Microwave Oven "/>
        <s v="Sharp 1.0HP R32 Portable Air Conditioner SHP"/>
        <s v="Hisense 140L Single Door Refrigerator"/>
        <s v="Panasonic Advanced MEGA Cyclone Bagless Vacuum Cleaner"/>
        <s v="Haier 1.0HP R32 Non-Inverter Series"/>
        <s v="Panasonic 31L Inverter Grill Microwave Oven "/>
        <s v="Pensonic 16-Inch Stand Fan "/>
        <s v="Midea 16 Inch Table Fan "/>
        <s v="Beko 2-in-1 Cordless Vacuum "/>
        <s v="Houm 16&quot; S16 Stand Fan (Walnut)"/>
        <s v="Electrolux Vacuum Cleaner Ease C4 "/>
        <s v="Alpha Motto Desk Fan 60 "/>
        <s v="Sharp 2200W Bagless Vacuum Cleaner"/>
        <s v="Cornell 20L Tank 3 in 1 Vacuum Cleaner"/>
      </sharedItems>
    </cacheField>
    <cacheField name="Quantity Sold" numFmtId="0">
      <sharedItems containsSemiMixedTypes="0" containsString="0" containsNumber="1" containsInteger="1" minValue="1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609.000439814816" createdVersion="7" refreshedVersion="7" minRefreshableVersion="3" recordCount="100" xr:uid="{3FB64177-BFEF-40F1-8B32-47FE4509BDA3}">
  <cacheSource type="worksheet">
    <worksheetSource ref="F1:J101" sheet="Sales Performance"/>
  </cacheSource>
  <cacheFields count="5">
    <cacheField name="No." numFmtId="0">
      <sharedItems containsSemiMixedTypes="0" containsString="0" containsNumber="1" containsInteger="1" minValue="1" maxValue="100"/>
    </cacheField>
    <cacheField name="Item" numFmtId="0">
      <sharedItems count="83">
        <s v="Samsung 1.0HP H-Inverter Premium"/>
        <s v="Pensonic Toush Smart Laser Robot Vacuum "/>
        <s v="Haier 14kg Fully Auto Top Load Washing Machine "/>
        <s v="Cornell 20L Tank 3 in 1 Vacuum Cleaner"/>
        <s v="SHARP J-Tech Inverter Plasmacluster Air Conditioner 2.5HP SHP"/>
        <s v="Houm 16&quot; S16 Stand Fan (Walnut)"/>
        <s v="Toshiba 55 Inch C350 4K Android UHD TV"/>
        <s v="Panasonic 1.0HP Standard Inverter R32 Air Conditioner PSN"/>
        <s v="Philips 50-Inch 4K UHD LED Android TV"/>
        <s v="Midea 16 Inch Table Fan "/>
        <s v="Philips 32-Inch Slim LED TV"/>
        <s v="Sharp 20L Microwave Oven "/>
        <s v="Samsung 28L Convection Microwave Oven with Slim Fry "/>
        <s v="Hitachi 14kg Top Loading Dual Jet Washing Machine "/>
        <s v="Panasonic 358L 3 Door Inverter Bottom Freezer Refrigerator"/>
        <s v="Haier 1.5HP R32 Non-Inverter Series"/>
        <s v="Hitachi 657L 4 Door Inverter Refrigerator"/>
        <s v="Panasonic 422L 2-door Bottom Freezer Refrigerator White Glass Door"/>
        <s v="Sharp 55-inch 4K UHD Smart TV"/>
        <s v="ASUS LAPTOP 15 i5-1135G7"/>
        <s v="Panasonic 2.5HP R32 Inverter Air Conditioner PSN"/>
        <s v="HP Laptop 14s-cf2040TX 14 Inch "/>
        <s v="Philips PowerPro Vacuum Cleaner and Mopping System "/>
        <s v="Samsung Powerbot Essential with Vacuum Cleaning &amp; Mopping"/>
        <s v="Panasonic 55 inch Series OLED 4K"/>
        <s v="Panasonic 358L 2 Door Inverter Bottom Freezer Refrigerator"/>
        <s v="Acer Swift 5 Touch Laptop - Green"/>
        <s v="Beko 9KG Front Load Washer Inverter "/>
        <s v="LG 50 inch NANO75 NanoCell 4K Smart TV with AI ThinQ®"/>
        <s v="Panasonic 1.5HP R32 Inverter Air Conditioner"/>
        <s v="ASUS LAPTOP 14 R3-3250U"/>
        <s v="Sharp 480L Pelican Refrigerator"/>
        <s v="Samsung 12KG Top Load Washer with Wobble Technology™ "/>
        <s v="Sharp 16-Inch Stand Fan"/>
        <s v="Asus Laptop E410M  "/>
        <s v="Samsung 50 inch 4K Smart TV"/>
        <s v="Panasonic 8KG Top Load Washer "/>
        <s v="Panasonic 1.0HP X-Deluxe Inverter R32 Air Conditioner PSN"/>
        <s v="Toshiba 556L Multi-Door Dual Inverter Refrigerator"/>
        <s v="Pensonic 16-Inch Stand Fan "/>
        <s v="HUAWEI MateBook 14 Q3 AMD R5 4000X"/>
        <s v="Samsung 28L Solo Microwave Oven "/>
        <s v="Toshiba 21L Microwave Oven "/>
        <s v="Alkova DEZI 56 Ceiling Fan "/>
        <s v="Samsung 670L Side by Side with Large Capacity Refrigerators"/>
        <s v="Haier 540L 4 Door Series Refrigerator"/>
        <s v="ACER SWIFT 3 14&quot; IPS FHD "/>
        <s v="Philips 2000 Series Bagless Vacuum Cleaner"/>
        <s v="Haier 1.0HP R32 Non-Inverter Series"/>
        <s v="Katana GF66"/>
        <s v="HUAWEI MateBook D14 "/>
        <s v="Sharp 1.0HP R32 Portable Air Conditioner SHP"/>
        <s v="Panasonic 58 inch Android UHD TV"/>
        <s v="LG 48 inch A1 4K Smart SELF-LIT OLED TV with AI ThinQ®"/>
        <s v="Alpha Motto Desk Fan 60 "/>
        <s v="LG QNED99 86 Inch 8K Smart QNED MiniLED TV with AI ThinQ"/>
        <s v="ACER SWIFT 3 RYZEN 7-5700U"/>
        <s v="Panasonic 1.0HP R32 Inverter Air Conditioner PSN"/>
        <s v="ACER ASPIRE 5  I5-1135G7"/>
        <s v="ASUS LAPTOP i5-1135G7"/>
        <s v="Panasonic Advanced MEGA Cyclone Bagless Vacuum Cleaner"/>
        <s v="Electrolux Vacuum Cleaner Ease C4 "/>
        <s v="Panasonic 20L Microwave Oven "/>
        <s v="Beko 2-in-1 Cordless Vacuum "/>
        <s v="Electrolux 25L Built-in Microwave with Grill "/>
        <s v="HP Victus Laptop 16E0127AX"/>
        <s v="SHARP J-Tech Inverter Plasmacluster Air Conditioner 1.5HP SHP"/>
        <s v="Haier 120L Single Door Refrigerator"/>
        <s v="Samsung 35L Convection Microwave Oven with HOT BLAST™ "/>
        <s v="Hitachi 722L Vacuum Compartment Refrigerator"/>
        <s v="Toshiba 11/7KG Front Load Real Inverter Washer Dryer "/>
        <s v="Sharp 2200W Bagless Vacuum Cleaner"/>
        <s v="Hisense 140L Single Door Refrigerator"/>
        <s v="LG 13kg Top Load Washer with Smart Inverter "/>
        <s v="Toshiba 26L Microwave Oven With Convection Function "/>
        <s v="Sharp AQUOS 60 Inch 8K Resolution TV"/>
        <s v="Panasonic 2.0HP Standard Inverter R32 Air Conditioner PSN"/>
        <s v="Panasonic 65 inch Series OLED, 4K HDR Smart TV "/>
        <s v="Panasonic 31L Inverter Grill Microwave Oven "/>
        <s v="Haier 2.0HP R32 Non-Inverter Series"/>
        <s v="SAMSUNG 65-inch Class Curved UHD TU-8300 Series - 4K"/>
        <s v="Haier 8kg Front Load Washing Machine"/>
        <s v="Sharp 15KG Top Load Washing Machine " u="1"/>
      </sharedItems>
    </cacheField>
    <cacheField name="Quantity Sold" numFmtId="0">
      <sharedItems containsSemiMixedTypes="0" containsString="0" containsNumber="1" containsInteger="1" minValue="1" maxValue="10"/>
    </cacheField>
    <cacheField name="Sales" numFmtId="44">
      <sharedItems containsSemiMixedTypes="0" containsString="0" containsNumber="1" minValue="494.80199999999996" maxValue="36276.932999999997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609.000441087963" createdVersion="7" refreshedVersion="7" minRefreshableVersion="3" recordCount="100" xr:uid="{3CD3619A-2253-4218-AB18-FECD6BA0934B}">
  <cacheSource type="worksheet">
    <worksheetSource ref="M1:P101" sheet="Sales Performance"/>
  </cacheSource>
  <cacheFields count="4">
    <cacheField name="Item" numFmtId="0">
      <sharedItems count="83">
        <s v="Samsung 1.0HP H-Inverter Premium"/>
        <s v="Pensonic Toush Smart Laser Robot Vacuum "/>
        <s v="Haier 14kg Fully Auto Top Load Washing Machine "/>
        <s v="Cornell 20L Tank 3 in 1 Vacuum Cleaner"/>
        <s v="SHARP J-Tech Inverter Plasmacluster Air Conditioner 2.5HP SHP"/>
        <s v="Houm 16&quot; S16 Stand Fan (Walnut)"/>
        <s v="Toshiba 55 Inch C350 4K Android UHD TV"/>
        <s v="Panasonic 1.0HP Standard Inverter R32 Air Conditioner PSN"/>
        <s v="Philips 50-Inch 4K UHD LED Android TV"/>
        <s v="Midea 16 Inch Table Fan "/>
        <s v="Philips 32-Inch Slim LED TV"/>
        <s v="Sharp 20L Microwave Oven "/>
        <s v="Samsung 28L Convection Microwave Oven with Slim Fry "/>
        <s v="Hitachi 14kg Top Loading Dual Jet Washing Machine "/>
        <s v="Panasonic 358L 3 Door Inverter Bottom Freezer Refrigerator"/>
        <s v="Haier 1.5HP R32 Non-Inverter Series"/>
        <s v="Hitachi 657L 4 Door Inverter Refrigerator"/>
        <s v="Panasonic 422L 2-door Bottom Freezer Refrigerator White Glass Door"/>
        <s v="Sharp 55-inch 4K UHD Smart TV"/>
        <s v="ASUS LAPTOP 15 i5-1135G7"/>
        <s v="Panasonic 2.5HP R32 Inverter Air Conditioner PSN"/>
        <s v="HP Laptop 14s-cf2040TX 14 Inch "/>
        <s v="Philips PowerPro Vacuum Cleaner and Mopping System "/>
        <s v="Samsung Powerbot Essential with Vacuum Cleaning &amp; Mopping"/>
        <s v="Panasonic 55 inch Series OLED 4K"/>
        <s v="Panasonic 358L 2 Door Inverter Bottom Freezer Refrigerator"/>
        <s v="Acer Swift 5 Touch Laptop - Green"/>
        <s v="Beko 9KG Front Load Washer Inverter "/>
        <s v="LG 50 inch NANO75 NanoCell 4K Smart TV with AI ThinQ®"/>
        <s v="Panasonic 1.5HP R32 Inverter Air Conditioner"/>
        <s v="ASUS LAPTOP 14 R3-3250U"/>
        <s v="Sharp 480L Pelican Refrigerator"/>
        <s v="Samsung 12KG Top Load Washer with Wobble Technology™ "/>
        <s v="Sharp 16-Inch Stand Fan"/>
        <s v="Asus Laptop E410M  "/>
        <s v="Samsung 50 inch 4K Smart TV"/>
        <s v="Panasonic 8KG Top Load Washer "/>
        <s v="Panasonic 1.0HP X-Deluxe Inverter R32 Air Conditioner PSN"/>
        <s v="Toshiba 556L Multi-Door Dual Inverter Refrigerator"/>
        <s v="Pensonic 16-Inch Stand Fan "/>
        <s v="HUAWEI MateBook 14 Q3 AMD R5 4000X"/>
        <s v="Samsung 28L Solo Microwave Oven "/>
        <s v="Toshiba 21L Microwave Oven "/>
        <s v="Alkova DEZI 56 Ceiling Fan "/>
        <s v="Samsung 670L Side by Side with Large Capacity Refrigerators"/>
        <s v="Haier 540L 4 Door Series Refrigerator"/>
        <s v="ACER SWIFT 3 14&quot; IPS FHD "/>
        <s v="Philips 2000 Series Bagless Vacuum Cleaner"/>
        <s v="Haier 1.0HP R32 Non-Inverter Series"/>
        <s v="Katana GF66"/>
        <s v="HUAWEI MateBook D14 "/>
        <s v="Sharp 1.0HP R32 Portable Air Conditioner SHP"/>
        <s v="Panasonic 58 inch Android UHD TV"/>
        <s v="LG 48 inch A1 4K Smart SELF-LIT OLED TV with AI ThinQ®"/>
        <s v="Alpha Motto Desk Fan 60 "/>
        <s v="LG QNED99 86 Inch 8K Smart QNED MiniLED TV with AI ThinQ"/>
        <s v="ACER SWIFT 3 RYZEN 7-5700U"/>
        <s v="Panasonic 1.0HP R32 Inverter Air Conditioner PSN"/>
        <s v="ACER ASPIRE 5  I5-1135G7"/>
        <s v="ASUS LAPTOP i5-1135G7"/>
        <s v="Panasonic Advanced MEGA Cyclone Bagless Vacuum Cleaner"/>
        <s v="Electrolux Vacuum Cleaner Ease C4 "/>
        <s v="Panasonic 20L Microwave Oven "/>
        <s v="Beko 2-in-1 Cordless Vacuum "/>
        <s v="Electrolux 25L Built-in Microwave with Grill "/>
        <s v="HP Victus Laptop 16E0127AX"/>
        <s v="SHARP J-Tech Inverter Plasmacluster Air Conditioner 1.5HP SHP"/>
        <s v="Haier 120L Single Door Refrigerator"/>
        <s v="Samsung 35L Convection Microwave Oven with HOT BLAST™ "/>
        <s v="Hitachi 722L Vacuum Compartment Refrigerator"/>
        <s v="Toshiba 11/7KG Front Load Real Inverter Washer Dryer "/>
        <s v="Sharp 2200W Bagless Vacuum Cleaner"/>
        <s v="Hisense 140L Single Door Refrigerator"/>
        <s v="LG 13kg Top Load Washer with Smart Inverter "/>
        <s v="Toshiba 26L Microwave Oven With Convection Function "/>
        <s v="Sharp AQUOS 60 Inch 8K Resolution TV"/>
        <s v="Panasonic 2.0HP Standard Inverter R32 Air Conditioner PSN"/>
        <s v="Panasonic 65 inch Series OLED, 4K HDR Smart TV "/>
        <s v="Panasonic 31L Inverter Grill Microwave Oven "/>
        <s v="Haier 2.0HP R32 Non-Inverter Series"/>
        <s v="SAMSUNG 65-inch Class Curved UHD TU-8300 Series - 4K"/>
        <s v="Haier 8kg Front Load Washing Machine"/>
        <s v="Sharp 15KG Top Load Washing Machine " u="1"/>
      </sharedItems>
    </cacheField>
    <cacheField name="Quantity Sold" numFmtId="0">
      <sharedItems containsSemiMixedTypes="0" containsString="0" containsNumber="1" containsInteger="1" minValue="1" maxValue="10"/>
    </cacheField>
    <cacheField name="Profit" numFmtId="44">
      <sharedItems containsSemiMixedTypes="0" containsString="0" containsNumber="1" minValue="40.391999999999975" maxValue="2617.9230000000016"/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5"/>
    <n v="5307.5"/>
    <x v="0"/>
  </r>
  <r>
    <x v="1"/>
    <n v="2"/>
    <n v="2893"/>
    <x v="0"/>
  </r>
  <r>
    <x v="1"/>
    <n v="2"/>
    <n v="2893"/>
    <x v="0"/>
  </r>
  <r>
    <x v="1"/>
    <n v="1"/>
    <n v="1446.5"/>
    <x v="0"/>
  </r>
  <r>
    <x v="2"/>
    <n v="2"/>
    <n v="3843.4"/>
    <x v="0"/>
  </r>
  <r>
    <x v="3"/>
    <n v="1"/>
    <n v="494.80199999999996"/>
    <x v="0"/>
  </r>
  <r>
    <x v="4"/>
    <n v="1"/>
    <n v="3859.9"/>
    <x v="0"/>
  </r>
  <r>
    <x v="5"/>
    <n v="2"/>
    <n v="831.6"/>
    <x v="0"/>
  </r>
  <r>
    <x v="6"/>
    <n v="1"/>
    <n v="2748.9"/>
    <x v="0"/>
  </r>
  <r>
    <x v="7"/>
    <n v="2"/>
    <n v="3429.8"/>
    <x v="0"/>
  </r>
  <r>
    <x v="8"/>
    <n v="2"/>
    <n v="5057.8"/>
    <x v="1"/>
  </r>
  <r>
    <x v="8"/>
    <n v="2"/>
    <n v="4956.6440000000002"/>
    <x v="1"/>
  </r>
  <r>
    <x v="9"/>
    <n v="9"/>
    <n v="1057.518"/>
    <x v="1"/>
  </r>
  <r>
    <x v="10"/>
    <n v="3"/>
    <n v="2909.7089999999998"/>
    <x v="1"/>
  </r>
  <r>
    <x v="11"/>
    <n v="7"/>
    <n v="1954.414"/>
    <x v="1"/>
  </r>
  <r>
    <x v="12"/>
    <n v="2"/>
    <n v="1896.4"/>
    <x v="1"/>
  </r>
  <r>
    <x v="13"/>
    <n v="1"/>
    <n v="2724.7"/>
    <x v="1"/>
  </r>
  <r>
    <x v="14"/>
    <n v="2"/>
    <n v="4861.78"/>
    <x v="1"/>
  </r>
  <r>
    <x v="15"/>
    <n v="2"/>
    <n v="3209.8"/>
    <x v="1"/>
  </r>
  <r>
    <x v="12"/>
    <n v="3"/>
    <n v="2844.6000000000004"/>
    <x v="1"/>
  </r>
  <r>
    <x v="16"/>
    <n v="1"/>
    <n v="11712.8"/>
    <x v="1"/>
  </r>
  <r>
    <x v="17"/>
    <n v="1"/>
    <n v="3100.9"/>
    <x v="2"/>
  </r>
  <r>
    <x v="18"/>
    <n v="2"/>
    <n v="5819.0439999999999"/>
    <x v="2"/>
  </r>
  <r>
    <x v="19"/>
    <n v="1"/>
    <n v="3298.9"/>
    <x v="2"/>
  </r>
  <r>
    <x v="20"/>
    <n v="1"/>
    <n v="4972"/>
    <x v="2"/>
  </r>
  <r>
    <x v="21"/>
    <n v="1"/>
    <n v="3265.9"/>
    <x v="2"/>
  </r>
  <r>
    <x v="19"/>
    <n v="1"/>
    <n v="3298.9"/>
    <x v="2"/>
  </r>
  <r>
    <x v="22"/>
    <n v="2"/>
    <n v="2585.0440000000003"/>
    <x v="3"/>
  </r>
  <r>
    <x v="23"/>
    <n v="2"/>
    <n v="3322"/>
    <x v="3"/>
  </r>
  <r>
    <x v="24"/>
    <n v="1"/>
    <n v="8798.9"/>
    <x v="3"/>
  </r>
  <r>
    <x v="25"/>
    <n v="2"/>
    <n v="4961"/>
    <x v="3"/>
  </r>
  <r>
    <x v="26"/>
    <n v="1"/>
    <n v="4461.8419999999996"/>
    <x v="3"/>
  </r>
  <r>
    <x v="23"/>
    <n v="2"/>
    <n v="3255.56"/>
    <x v="3"/>
  </r>
  <r>
    <x v="27"/>
    <n v="1"/>
    <n v="3375.9"/>
    <x v="3"/>
  </r>
  <r>
    <x v="23"/>
    <n v="3"/>
    <n v="4983"/>
    <x v="3"/>
  </r>
  <r>
    <x v="28"/>
    <n v="1"/>
    <n v="3738.9"/>
    <x v="3"/>
  </r>
  <r>
    <x v="29"/>
    <n v="2"/>
    <n v="5057.8"/>
    <x v="3"/>
  </r>
  <r>
    <x v="23"/>
    <n v="1"/>
    <n v="1661"/>
    <x v="3"/>
  </r>
  <r>
    <x v="30"/>
    <n v="2"/>
    <n v="4837.8"/>
    <x v="3"/>
  </r>
  <r>
    <x v="31"/>
    <n v="2"/>
    <n v="5651.8"/>
    <x v="3"/>
  </r>
  <r>
    <x v="27"/>
    <n v="2"/>
    <n v="6751.8"/>
    <x v="3"/>
  </r>
  <r>
    <x v="32"/>
    <n v="1"/>
    <n v="1703.9"/>
    <x v="3"/>
  </r>
  <r>
    <x v="33"/>
    <n v="10"/>
    <n v="1815"/>
    <x v="3"/>
  </r>
  <r>
    <x v="34"/>
    <n v="2"/>
    <n v="3986.444"/>
    <x v="3"/>
  </r>
  <r>
    <x v="35"/>
    <n v="4"/>
    <n v="2195.6"/>
    <x v="4"/>
  </r>
  <r>
    <x v="36"/>
    <n v="3"/>
    <n v="3485.8890000000001"/>
    <x v="4"/>
  </r>
  <r>
    <x v="37"/>
    <n v="2"/>
    <n v="3753.7060000000001"/>
    <x v="4"/>
  </r>
  <r>
    <x v="38"/>
    <n v="1"/>
    <n v="5278.9"/>
    <x v="4"/>
  </r>
  <r>
    <x v="38"/>
    <n v="1"/>
    <n v="5278.9"/>
    <x v="4"/>
  </r>
  <r>
    <x v="39"/>
    <n v="10"/>
    <n v="1067.22"/>
    <x v="5"/>
  </r>
  <r>
    <x v="40"/>
    <n v="2"/>
    <n v="8137.8"/>
    <x v="5"/>
  </r>
  <r>
    <x v="41"/>
    <n v="3"/>
    <n v="1580.6999999999998"/>
    <x v="5"/>
  </r>
  <r>
    <x v="42"/>
    <n v="8"/>
    <n v="3096.0159999999996"/>
    <x v="5"/>
  </r>
  <r>
    <x v="43"/>
    <n v="3"/>
    <n v="2009.6999999999998"/>
    <x v="5"/>
  </r>
  <r>
    <x v="44"/>
    <n v="1"/>
    <n v="5371.3"/>
    <x v="5"/>
  </r>
  <r>
    <x v="44"/>
    <n v="1"/>
    <n v="5371.3"/>
    <x v="5"/>
  </r>
  <r>
    <x v="43"/>
    <n v="2"/>
    <n v="1299.606"/>
    <x v="5"/>
  </r>
  <r>
    <x v="45"/>
    <n v="2"/>
    <n v="8505.2000000000007"/>
    <x v="5"/>
  </r>
  <r>
    <x v="46"/>
    <n v="1"/>
    <n v="4647.5"/>
    <x v="6"/>
  </r>
  <r>
    <x v="47"/>
    <n v="5"/>
    <n v="2139.5"/>
    <x v="6"/>
  </r>
  <r>
    <x v="48"/>
    <n v="1"/>
    <n v="1153.9000000000001"/>
    <x v="6"/>
  </r>
  <r>
    <x v="49"/>
    <n v="1"/>
    <n v="6378.9"/>
    <x v="6"/>
  </r>
  <r>
    <x v="50"/>
    <n v="2"/>
    <n v="4741.0439999999999"/>
    <x v="6"/>
  </r>
  <r>
    <x v="51"/>
    <n v="1"/>
    <n v="1428.9"/>
    <x v="6"/>
  </r>
  <r>
    <x v="46"/>
    <n v="1"/>
    <n v="4647.5"/>
    <x v="6"/>
  </r>
  <r>
    <x v="52"/>
    <n v="1"/>
    <n v="3448.5219999999999"/>
    <x v="7"/>
  </r>
  <r>
    <x v="53"/>
    <n v="2"/>
    <n v="8797.7999999999993"/>
    <x v="7"/>
  </r>
  <r>
    <x v="54"/>
    <n v="3"/>
    <n v="636.99900000000002"/>
    <x v="7"/>
  </r>
  <r>
    <x v="55"/>
    <n v="1"/>
    <n v="36276.932999999997"/>
    <x v="7"/>
  </r>
  <r>
    <x v="56"/>
    <n v="1"/>
    <n v="4343.8999999999996"/>
    <x v="7"/>
  </r>
  <r>
    <x v="57"/>
    <n v="2"/>
    <n v="4387.46"/>
    <x v="7"/>
  </r>
  <r>
    <x v="58"/>
    <n v="1"/>
    <n v="3364.9"/>
    <x v="7"/>
  </r>
  <r>
    <x v="59"/>
    <n v="1"/>
    <n v="3093.2330000000002"/>
    <x v="8"/>
  </r>
  <r>
    <x v="60"/>
    <n v="2"/>
    <n v="1291.444"/>
    <x v="8"/>
  </r>
  <r>
    <x v="61"/>
    <n v="2"/>
    <n v="767.8"/>
    <x v="8"/>
  </r>
  <r>
    <x v="62"/>
    <n v="5"/>
    <n v="1719.4099999999999"/>
    <x v="8"/>
  </r>
  <r>
    <x v="63"/>
    <n v="2"/>
    <n v="1009.8"/>
    <x v="8"/>
  </r>
  <r>
    <x v="64"/>
    <n v="1"/>
    <n v="2198.9"/>
    <x v="8"/>
  </r>
  <r>
    <x v="65"/>
    <n v="1"/>
    <n v="4203.1219999999994"/>
    <x v="8"/>
  </r>
  <r>
    <x v="66"/>
    <n v="1"/>
    <n v="2308.9"/>
    <x v="9"/>
  </r>
  <r>
    <x v="67"/>
    <n v="3"/>
    <n v="2013"/>
    <x v="10"/>
  </r>
  <r>
    <x v="68"/>
    <n v="3"/>
    <n v="5969.7000000000007"/>
    <x v="10"/>
  </r>
  <r>
    <x v="69"/>
    <n v="1"/>
    <n v="13750"/>
    <x v="10"/>
  </r>
  <r>
    <x v="67"/>
    <n v="5"/>
    <n v="3355"/>
    <x v="10"/>
  </r>
  <r>
    <x v="70"/>
    <n v="1"/>
    <n v="3848.9"/>
    <x v="10"/>
  </r>
  <r>
    <x v="71"/>
    <n v="1"/>
    <n v="515.9"/>
    <x v="10"/>
  </r>
  <r>
    <x v="67"/>
    <n v="2"/>
    <n v="1342"/>
    <x v="10"/>
  </r>
  <r>
    <x v="72"/>
    <n v="2"/>
    <n v="1331"/>
    <x v="10"/>
  </r>
  <r>
    <x v="73"/>
    <n v="1"/>
    <n v="1648.9"/>
    <x v="10"/>
  </r>
  <r>
    <x v="67"/>
    <n v="3"/>
    <n v="2013"/>
    <x v="10"/>
  </r>
  <r>
    <x v="74"/>
    <n v="4"/>
    <n v="3515.6"/>
    <x v="11"/>
  </r>
  <r>
    <x v="75"/>
    <n v="1"/>
    <n v="8798.9"/>
    <x v="11"/>
  </r>
  <r>
    <x v="76"/>
    <n v="1"/>
    <n v="3495.8"/>
    <x v="11"/>
  </r>
  <r>
    <x v="77"/>
    <n v="1"/>
    <n v="15090.921999999999"/>
    <x v="11"/>
  </r>
  <r>
    <x v="78"/>
    <n v="1"/>
    <n v="1098.9000000000001"/>
    <x v="11"/>
  </r>
  <r>
    <x v="79"/>
    <n v="1"/>
    <n v="2440.9"/>
    <x v="11"/>
  </r>
  <r>
    <x v="80"/>
    <n v="3"/>
    <n v="2095.5996599999999"/>
    <x v="11"/>
  </r>
  <r>
    <x v="81"/>
    <n v="2"/>
    <n v="3517.8"/>
    <x v="11"/>
  </r>
  <r>
    <x v="81"/>
    <n v="3"/>
    <n v="5276.7000000000007"/>
    <x v="11"/>
  </r>
  <r>
    <x v="82"/>
    <n v="2"/>
    <n v="3625.6660000000002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30.75"/>
    <x v="0"/>
  </r>
  <r>
    <n v="289.3"/>
    <x v="0"/>
  </r>
  <r>
    <n v="289.3"/>
    <x v="0"/>
  </r>
  <r>
    <n v="144.65"/>
    <x v="0"/>
  </r>
  <r>
    <n v="384.34000000000009"/>
    <x v="0"/>
  </r>
  <r>
    <n v="40.391999999999975"/>
    <x v="0"/>
  </r>
  <r>
    <n v="385.99000000000012"/>
    <x v="0"/>
  </r>
  <r>
    <n v="83.160000000000025"/>
    <x v="0"/>
  </r>
  <r>
    <n v="274.8900000000001"/>
    <x v="0"/>
  </r>
  <r>
    <n v="342.98000000000025"/>
    <x v="0"/>
  </r>
  <r>
    <n v="505.7800000000002"/>
    <x v="1"/>
  </r>
  <r>
    <n v="404.62400000000019"/>
    <x v="1"/>
  </r>
  <r>
    <n v="86.32800000000006"/>
    <x v="1"/>
  </r>
  <r>
    <n v="209.97899999999993"/>
    <x v="1"/>
  </r>
  <r>
    <n v="159.54399999999981"/>
    <x v="1"/>
  </r>
  <r>
    <n v="189.6400000000001"/>
    <x v="1"/>
  </r>
  <r>
    <n v="272.4699999999998"/>
    <x v="1"/>
  </r>
  <r>
    <n v="396.88"/>
    <x v="1"/>
  </r>
  <r>
    <n v="320.98000000000025"/>
    <x v="1"/>
  </r>
  <r>
    <n v="284.46000000000015"/>
    <x v="1"/>
  </r>
  <r>
    <n v="1171.2799999999991"/>
    <x v="1"/>
  </r>
  <r>
    <n v="310.09000000000009"/>
    <x v="2"/>
  </r>
  <r>
    <n v="475.02400000000023"/>
    <x v="2"/>
  </r>
  <r>
    <n v="329.8900000000001"/>
    <x v="2"/>
  </r>
  <r>
    <n v="497.2"/>
    <x v="2"/>
  </r>
  <r>
    <n v="326.59000000000009"/>
    <x v="2"/>
  </r>
  <r>
    <n v="329.8900000000001"/>
    <x v="2"/>
  </r>
  <r>
    <n v="211.0240000000002"/>
    <x v="3"/>
  </r>
  <r>
    <n v="332.2"/>
    <x v="3"/>
  </r>
  <r>
    <n v="879.88999999999953"/>
    <x v="3"/>
  </r>
  <r>
    <n v="496.1"/>
    <x v="3"/>
  </r>
  <r>
    <n v="364.23199999999957"/>
    <x v="3"/>
  </r>
  <r>
    <n v="265.76"/>
    <x v="3"/>
  </r>
  <r>
    <n v="337.59000000000009"/>
    <x v="3"/>
  </r>
  <r>
    <n v="498.3"/>
    <x v="3"/>
  </r>
  <r>
    <n v="373.8900000000001"/>
    <x v="3"/>
  </r>
  <r>
    <n v="505.7800000000002"/>
    <x v="3"/>
  </r>
  <r>
    <n v="166.1"/>
    <x v="3"/>
  </r>
  <r>
    <n v="483.7800000000002"/>
    <x v="3"/>
  </r>
  <r>
    <n v="565.18000000000018"/>
    <x v="3"/>
  </r>
  <r>
    <n v="675.18000000000018"/>
    <x v="3"/>
  </r>
  <r>
    <n v="170.3900000000001"/>
    <x v="3"/>
  </r>
  <r>
    <n v="181.5"/>
    <x v="3"/>
  </r>
  <r>
    <n v="325.42400000000021"/>
    <x v="3"/>
  </r>
  <r>
    <n v="219.55999999999989"/>
    <x v="4"/>
  </r>
  <r>
    <n v="251.55900000000031"/>
    <x v="4"/>
  </r>
  <r>
    <n v="270.88600000000019"/>
    <x v="4"/>
  </r>
  <r>
    <n v="527.88999999999953"/>
    <x v="4"/>
  </r>
  <r>
    <n v="527.88999999999953"/>
    <x v="4"/>
  </r>
  <r>
    <n v="87.120000000000061"/>
    <x v="5"/>
  </r>
  <r>
    <n v="813.7800000000002"/>
    <x v="5"/>
  </r>
  <r>
    <n v="158.06999999999991"/>
    <x v="5"/>
  </r>
  <r>
    <n v="252.73599999999979"/>
    <x v="5"/>
  </r>
  <r>
    <n v="200.96999999999991"/>
    <x v="5"/>
  </r>
  <r>
    <n v="537.13000000000022"/>
    <x v="5"/>
  </r>
  <r>
    <n v="537.13000000000022"/>
    <x v="5"/>
  </r>
  <r>
    <n v="93.785999999999945"/>
    <x v="5"/>
  </r>
  <r>
    <n v="850.52000000000089"/>
    <x v="5"/>
  </r>
  <r>
    <n v="464.75"/>
    <x v="6"/>
  </r>
  <r>
    <n v="213.94999999999987"/>
    <x v="6"/>
  </r>
  <r>
    <n v="115.39000000000011"/>
    <x v="6"/>
  </r>
  <r>
    <n v="637.88999999999953"/>
    <x v="6"/>
  </r>
  <r>
    <n v="387.02400000000023"/>
    <x v="6"/>
  </r>
  <r>
    <n v="142.8900000000001"/>
    <x v="6"/>
  </r>
  <r>
    <n v="464.75"/>
    <x v="6"/>
  </r>
  <r>
    <n v="281.51200000000011"/>
    <x v="7"/>
  </r>
  <r>
    <n v="879.77999999999918"/>
    <x v="7"/>
  </r>
  <r>
    <n v="45.969000000000023"/>
    <x v="7"/>
  </r>
  <r>
    <n v="2617.9230000000016"/>
    <x v="7"/>
  </r>
  <r>
    <n v="434.38999999999959"/>
    <x v="7"/>
  </r>
  <r>
    <n v="358.16"/>
    <x v="7"/>
  </r>
  <r>
    <n v="336.49000000000012"/>
    <x v="7"/>
  </r>
  <r>
    <n v="223.2230000000001"/>
    <x v="8"/>
  </r>
  <r>
    <n v="105.42399999999995"/>
    <x v="8"/>
  </r>
  <r>
    <n v="76.779999999999944"/>
    <x v="8"/>
  </r>
  <r>
    <n v="140.35999999999987"/>
    <x v="8"/>
  </r>
  <r>
    <n v="100.97999999999995"/>
    <x v="8"/>
  </r>
  <r>
    <n v="219.8900000000001"/>
    <x v="8"/>
  </r>
  <r>
    <n v="343.11199999999957"/>
    <x v="8"/>
  </r>
  <r>
    <n v="230.8900000000001"/>
    <x v="9"/>
  </r>
  <r>
    <n v="201.3"/>
    <x v="10"/>
  </r>
  <r>
    <n v="596.97000000000037"/>
    <x v="10"/>
  </r>
  <r>
    <n v="1375"/>
    <x v="10"/>
  </r>
  <r>
    <n v="335.5"/>
    <x v="10"/>
  </r>
  <r>
    <n v="384.8900000000001"/>
    <x v="10"/>
  </r>
  <r>
    <n v="51.589999999999975"/>
    <x v="10"/>
  </r>
  <r>
    <n v="134.19999999999999"/>
    <x v="10"/>
  </r>
  <r>
    <n v="133.1"/>
    <x v="10"/>
  </r>
  <r>
    <n v="164.8900000000001"/>
    <x v="10"/>
  </r>
  <r>
    <n v="201.3"/>
    <x v="10"/>
  </r>
  <r>
    <n v="351.55999999999989"/>
    <x v="11"/>
  </r>
  <r>
    <n v="879.88999999999953"/>
    <x v="11"/>
  </r>
  <r>
    <n v="349.58000000000021"/>
    <x v="11"/>
  </r>
  <r>
    <n v="1231.9119999999996"/>
    <x v="11"/>
  </r>
  <r>
    <n v="109.89000000000011"/>
    <x v="11"/>
  </r>
  <r>
    <n v="244.09000000000012"/>
    <x v="11"/>
  </r>
  <r>
    <n v="171.06935999999993"/>
    <x v="11"/>
  </r>
  <r>
    <n v="351.7800000000002"/>
    <x v="11"/>
  </r>
  <r>
    <n v="527.6700000000003"/>
    <x v="11"/>
  </r>
  <r>
    <n v="261.64600000000024"/>
    <x v="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n v="1"/>
  </r>
  <r>
    <x v="1"/>
    <n v="1"/>
  </r>
  <r>
    <x v="2"/>
    <n v="1"/>
  </r>
  <r>
    <x v="3"/>
    <n v="8"/>
  </r>
  <r>
    <x v="4"/>
    <n v="1"/>
  </r>
  <r>
    <x v="5"/>
    <n v="2"/>
  </r>
  <r>
    <x v="6"/>
    <n v="2"/>
  </r>
  <r>
    <x v="7"/>
    <n v="3"/>
  </r>
  <r>
    <x v="8"/>
    <n v="4"/>
  </r>
  <r>
    <x v="9"/>
    <n v="2"/>
  </r>
  <r>
    <x v="10"/>
    <n v="1"/>
  </r>
  <r>
    <x v="11"/>
    <n v="1"/>
  </r>
  <r>
    <x v="12"/>
    <n v="2"/>
  </r>
  <r>
    <x v="13"/>
    <n v="5"/>
  </r>
  <r>
    <x v="14"/>
    <n v="13"/>
  </r>
  <r>
    <x v="15"/>
    <n v="2"/>
  </r>
  <r>
    <x v="16"/>
    <n v="2"/>
  </r>
  <r>
    <x v="17"/>
    <n v="5"/>
  </r>
  <r>
    <x v="18"/>
    <n v="2"/>
  </r>
  <r>
    <x v="19"/>
    <n v="1"/>
  </r>
  <r>
    <x v="20"/>
    <n v="3"/>
  </r>
  <r>
    <x v="21"/>
    <n v="2"/>
  </r>
  <r>
    <x v="22"/>
    <n v="2"/>
  </r>
  <r>
    <x v="23"/>
    <n v="5"/>
  </r>
  <r>
    <x v="24"/>
    <n v="2"/>
  </r>
  <r>
    <x v="25"/>
    <n v="1"/>
  </r>
  <r>
    <x v="26"/>
    <n v="2"/>
  </r>
  <r>
    <x v="27"/>
    <n v="2"/>
  </r>
  <r>
    <x v="28"/>
    <n v="2"/>
  </r>
  <r>
    <x v="29"/>
    <n v="2"/>
  </r>
  <r>
    <x v="30"/>
    <n v="5"/>
  </r>
  <r>
    <x v="31"/>
    <n v="1"/>
  </r>
  <r>
    <x v="32"/>
    <n v="2"/>
  </r>
  <r>
    <x v="33"/>
    <n v="1"/>
  </r>
  <r>
    <x v="34"/>
    <n v="1"/>
  </r>
  <r>
    <x v="35"/>
    <n v="2"/>
  </r>
  <r>
    <x v="36"/>
    <n v="1"/>
  </r>
  <r>
    <x v="37"/>
    <n v="1"/>
  </r>
  <r>
    <x v="38"/>
    <n v="2"/>
  </r>
  <r>
    <x v="39"/>
    <n v="2"/>
  </r>
  <r>
    <x v="40"/>
    <n v="1"/>
  </r>
  <r>
    <x v="41"/>
    <n v="2"/>
  </r>
  <r>
    <x v="42"/>
    <n v="4"/>
  </r>
  <r>
    <x v="43"/>
    <n v="1"/>
  </r>
  <r>
    <x v="44"/>
    <n v="3"/>
  </r>
  <r>
    <x v="45"/>
    <n v="1"/>
  </r>
  <r>
    <x v="46"/>
    <n v="2"/>
  </r>
  <r>
    <x v="47"/>
    <n v="1"/>
  </r>
  <r>
    <x v="48"/>
    <n v="5"/>
  </r>
  <r>
    <x v="49"/>
    <n v="1"/>
  </r>
  <r>
    <x v="50"/>
    <n v="2"/>
  </r>
  <r>
    <x v="51"/>
    <n v="1"/>
  </r>
  <r>
    <x v="52"/>
    <n v="8"/>
  </r>
  <r>
    <x v="53"/>
    <n v="1"/>
  </r>
  <r>
    <x v="54"/>
    <n v="3"/>
  </r>
  <r>
    <x v="55"/>
    <n v="1"/>
  </r>
  <r>
    <x v="56"/>
    <n v="1"/>
  </r>
  <r>
    <x v="57"/>
    <n v="2"/>
  </r>
  <r>
    <x v="58"/>
    <n v="1"/>
  </r>
  <r>
    <x v="59"/>
    <n v="1"/>
  </r>
  <r>
    <x v="60"/>
    <n v="1"/>
  </r>
  <r>
    <x v="61"/>
    <n v="4"/>
  </r>
  <r>
    <x v="62"/>
    <n v="5"/>
  </r>
  <r>
    <x v="63"/>
    <n v="3"/>
  </r>
  <r>
    <x v="64"/>
    <n v="7"/>
  </r>
  <r>
    <x v="65"/>
    <n v="10"/>
  </r>
  <r>
    <x v="66"/>
    <n v="5"/>
  </r>
  <r>
    <x v="67"/>
    <n v="1"/>
  </r>
  <r>
    <x v="68"/>
    <n v="1"/>
  </r>
  <r>
    <x v="69"/>
    <n v="3"/>
  </r>
  <r>
    <x v="70"/>
    <n v="1"/>
  </r>
  <r>
    <x v="71"/>
    <n v="2"/>
  </r>
  <r>
    <x v="72"/>
    <n v="2"/>
  </r>
  <r>
    <x v="73"/>
    <n v="1"/>
  </r>
  <r>
    <x v="74"/>
    <n v="1"/>
  </r>
  <r>
    <x v="75"/>
    <n v="10"/>
  </r>
  <r>
    <x v="76"/>
    <n v="9"/>
  </r>
  <r>
    <x v="77"/>
    <n v="2"/>
  </r>
  <r>
    <x v="78"/>
    <n v="2"/>
  </r>
  <r>
    <x v="79"/>
    <n v="2"/>
  </r>
  <r>
    <x v="80"/>
    <n v="3"/>
  </r>
  <r>
    <x v="81"/>
    <n v="1"/>
  </r>
  <r>
    <x v="8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n v="5"/>
    <n v="5307.5"/>
    <x v="0"/>
  </r>
  <r>
    <n v="2"/>
    <x v="1"/>
    <n v="2"/>
    <n v="2893"/>
    <x v="0"/>
  </r>
  <r>
    <n v="3"/>
    <x v="1"/>
    <n v="2"/>
    <n v="2893"/>
    <x v="0"/>
  </r>
  <r>
    <n v="4"/>
    <x v="1"/>
    <n v="1"/>
    <n v="1446.5"/>
    <x v="0"/>
  </r>
  <r>
    <n v="5"/>
    <x v="2"/>
    <n v="2"/>
    <n v="3843.4"/>
    <x v="0"/>
  </r>
  <r>
    <n v="6"/>
    <x v="3"/>
    <n v="1"/>
    <n v="494.80199999999996"/>
    <x v="0"/>
  </r>
  <r>
    <n v="7"/>
    <x v="4"/>
    <n v="1"/>
    <n v="3859.9"/>
    <x v="0"/>
  </r>
  <r>
    <n v="8"/>
    <x v="5"/>
    <n v="2"/>
    <n v="831.6"/>
    <x v="0"/>
  </r>
  <r>
    <n v="9"/>
    <x v="6"/>
    <n v="1"/>
    <n v="2748.9"/>
    <x v="0"/>
  </r>
  <r>
    <n v="10"/>
    <x v="7"/>
    <n v="2"/>
    <n v="3429.8"/>
    <x v="0"/>
  </r>
  <r>
    <n v="11"/>
    <x v="0"/>
    <n v="2"/>
    <n v="2080.54"/>
    <x v="0"/>
  </r>
  <r>
    <n v="12"/>
    <x v="8"/>
    <n v="2"/>
    <n v="5057.8"/>
    <x v="1"/>
  </r>
  <r>
    <n v="13"/>
    <x v="8"/>
    <n v="2"/>
    <n v="4956.6440000000002"/>
    <x v="1"/>
  </r>
  <r>
    <n v="14"/>
    <x v="9"/>
    <n v="9"/>
    <n v="1057.518"/>
    <x v="1"/>
  </r>
  <r>
    <n v="15"/>
    <x v="10"/>
    <n v="3"/>
    <n v="2909.7089999999998"/>
    <x v="1"/>
  </r>
  <r>
    <n v="16"/>
    <x v="11"/>
    <n v="7"/>
    <n v="1954.414"/>
    <x v="1"/>
  </r>
  <r>
    <n v="17"/>
    <x v="12"/>
    <n v="2"/>
    <n v="1896.4"/>
    <x v="1"/>
  </r>
  <r>
    <n v="18"/>
    <x v="13"/>
    <n v="1"/>
    <n v="2724.7"/>
    <x v="1"/>
  </r>
  <r>
    <n v="19"/>
    <x v="14"/>
    <n v="2"/>
    <n v="4861.78"/>
    <x v="1"/>
  </r>
  <r>
    <n v="20"/>
    <x v="15"/>
    <n v="2"/>
    <n v="3209.8"/>
    <x v="1"/>
  </r>
  <r>
    <n v="21"/>
    <x v="12"/>
    <n v="3"/>
    <n v="2844.6000000000004"/>
    <x v="1"/>
  </r>
  <r>
    <n v="22"/>
    <x v="16"/>
    <n v="1"/>
    <n v="11712.8"/>
    <x v="1"/>
  </r>
  <r>
    <n v="23"/>
    <x v="17"/>
    <n v="1"/>
    <n v="3100.9"/>
    <x v="2"/>
  </r>
  <r>
    <n v="24"/>
    <x v="18"/>
    <n v="2"/>
    <n v="5819.0439999999999"/>
    <x v="2"/>
  </r>
  <r>
    <n v="25"/>
    <x v="19"/>
    <n v="1"/>
    <n v="3298.9"/>
    <x v="2"/>
  </r>
  <r>
    <n v="26"/>
    <x v="20"/>
    <n v="1"/>
    <n v="4972"/>
    <x v="2"/>
  </r>
  <r>
    <n v="27"/>
    <x v="21"/>
    <n v="1"/>
    <n v="3265.9"/>
    <x v="2"/>
  </r>
  <r>
    <n v="28"/>
    <x v="19"/>
    <n v="1"/>
    <n v="3298.9"/>
    <x v="2"/>
  </r>
  <r>
    <n v="29"/>
    <x v="22"/>
    <n v="2"/>
    <n v="2585.0440000000003"/>
    <x v="3"/>
  </r>
  <r>
    <n v="30"/>
    <x v="23"/>
    <n v="2"/>
    <n v="3322"/>
    <x v="3"/>
  </r>
  <r>
    <n v="31"/>
    <x v="24"/>
    <n v="1"/>
    <n v="8798.9"/>
    <x v="3"/>
  </r>
  <r>
    <n v="32"/>
    <x v="25"/>
    <n v="2"/>
    <n v="4961"/>
    <x v="3"/>
  </r>
  <r>
    <n v="33"/>
    <x v="26"/>
    <n v="1"/>
    <n v="4461.8419999999996"/>
    <x v="3"/>
  </r>
  <r>
    <n v="34"/>
    <x v="23"/>
    <n v="2"/>
    <n v="3255.56"/>
    <x v="3"/>
  </r>
  <r>
    <n v="35"/>
    <x v="27"/>
    <n v="1"/>
    <n v="3375.9"/>
    <x v="3"/>
  </r>
  <r>
    <n v="36"/>
    <x v="23"/>
    <n v="3"/>
    <n v="4983"/>
    <x v="3"/>
  </r>
  <r>
    <n v="37"/>
    <x v="28"/>
    <n v="1"/>
    <n v="3738.9"/>
    <x v="3"/>
  </r>
  <r>
    <n v="38"/>
    <x v="29"/>
    <n v="2"/>
    <n v="5057.8"/>
    <x v="3"/>
  </r>
  <r>
    <n v="39"/>
    <x v="23"/>
    <n v="1"/>
    <n v="1661"/>
    <x v="3"/>
  </r>
  <r>
    <n v="40"/>
    <x v="30"/>
    <n v="2"/>
    <n v="4837.8"/>
    <x v="3"/>
  </r>
  <r>
    <n v="41"/>
    <x v="31"/>
    <n v="2"/>
    <n v="5651.8"/>
    <x v="3"/>
  </r>
  <r>
    <n v="42"/>
    <x v="27"/>
    <n v="2"/>
    <n v="6751.8"/>
    <x v="3"/>
  </r>
  <r>
    <n v="43"/>
    <x v="32"/>
    <n v="1"/>
    <n v="1703.9"/>
    <x v="3"/>
  </r>
  <r>
    <n v="44"/>
    <x v="33"/>
    <n v="10"/>
    <n v="1815"/>
    <x v="3"/>
  </r>
  <r>
    <n v="45"/>
    <x v="34"/>
    <n v="2"/>
    <n v="3986.444"/>
    <x v="3"/>
  </r>
  <r>
    <n v="46"/>
    <x v="35"/>
    <n v="4"/>
    <n v="2195.6"/>
    <x v="4"/>
  </r>
  <r>
    <n v="47"/>
    <x v="36"/>
    <n v="3"/>
    <n v="3485.8890000000001"/>
    <x v="4"/>
  </r>
  <r>
    <n v="48"/>
    <x v="37"/>
    <n v="2"/>
    <n v="3753.7060000000001"/>
    <x v="4"/>
  </r>
  <r>
    <n v="49"/>
    <x v="38"/>
    <n v="1"/>
    <n v="5278.9"/>
    <x v="4"/>
  </r>
  <r>
    <n v="50"/>
    <x v="38"/>
    <n v="1"/>
    <n v="5278.9"/>
    <x v="4"/>
  </r>
  <r>
    <n v="51"/>
    <x v="39"/>
    <n v="10"/>
    <n v="1067.22"/>
    <x v="5"/>
  </r>
  <r>
    <n v="52"/>
    <x v="40"/>
    <n v="2"/>
    <n v="8137.8"/>
    <x v="5"/>
  </r>
  <r>
    <n v="53"/>
    <x v="41"/>
    <n v="3"/>
    <n v="1580.6999999999998"/>
    <x v="5"/>
  </r>
  <r>
    <n v="54"/>
    <x v="42"/>
    <n v="8"/>
    <n v="3096.0159999999996"/>
    <x v="5"/>
  </r>
  <r>
    <n v="55"/>
    <x v="43"/>
    <n v="3"/>
    <n v="2009.6999999999998"/>
    <x v="5"/>
  </r>
  <r>
    <n v="56"/>
    <x v="44"/>
    <n v="1"/>
    <n v="5371.3"/>
    <x v="5"/>
  </r>
  <r>
    <n v="57"/>
    <x v="44"/>
    <n v="1"/>
    <n v="5371.3"/>
    <x v="5"/>
  </r>
  <r>
    <n v="58"/>
    <x v="43"/>
    <n v="2"/>
    <n v="1299.606"/>
    <x v="5"/>
  </r>
  <r>
    <n v="59"/>
    <x v="45"/>
    <n v="2"/>
    <n v="8505.2000000000007"/>
    <x v="5"/>
  </r>
  <r>
    <n v="60"/>
    <x v="46"/>
    <n v="1"/>
    <n v="4647.5"/>
    <x v="6"/>
  </r>
  <r>
    <n v="61"/>
    <x v="47"/>
    <n v="5"/>
    <n v="2139.5"/>
    <x v="6"/>
  </r>
  <r>
    <n v="62"/>
    <x v="48"/>
    <n v="1"/>
    <n v="1153.9000000000001"/>
    <x v="6"/>
  </r>
  <r>
    <n v="63"/>
    <x v="49"/>
    <n v="1"/>
    <n v="6378.9"/>
    <x v="6"/>
  </r>
  <r>
    <n v="64"/>
    <x v="50"/>
    <n v="2"/>
    <n v="4741.0439999999999"/>
    <x v="6"/>
  </r>
  <r>
    <n v="65"/>
    <x v="51"/>
    <n v="1"/>
    <n v="1428.9"/>
    <x v="6"/>
  </r>
  <r>
    <n v="66"/>
    <x v="46"/>
    <n v="1"/>
    <n v="4647.5"/>
    <x v="6"/>
  </r>
  <r>
    <n v="67"/>
    <x v="52"/>
    <n v="1"/>
    <n v="3448.5219999999999"/>
    <x v="7"/>
  </r>
  <r>
    <n v="68"/>
    <x v="53"/>
    <n v="2"/>
    <n v="8797.7999999999993"/>
    <x v="7"/>
  </r>
  <r>
    <n v="69"/>
    <x v="54"/>
    <n v="3"/>
    <n v="636.99900000000002"/>
    <x v="7"/>
  </r>
  <r>
    <n v="70"/>
    <x v="55"/>
    <n v="1"/>
    <n v="36276.932999999997"/>
    <x v="7"/>
  </r>
  <r>
    <n v="71"/>
    <x v="56"/>
    <n v="1"/>
    <n v="4343.8999999999996"/>
    <x v="7"/>
  </r>
  <r>
    <n v="72"/>
    <x v="57"/>
    <n v="2"/>
    <n v="4387.46"/>
    <x v="7"/>
  </r>
  <r>
    <n v="73"/>
    <x v="58"/>
    <n v="1"/>
    <n v="3364.9"/>
    <x v="7"/>
  </r>
  <r>
    <n v="74"/>
    <x v="59"/>
    <n v="1"/>
    <n v="3093.2330000000002"/>
    <x v="8"/>
  </r>
  <r>
    <n v="75"/>
    <x v="60"/>
    <n v="2"/>
    <n v="1291.444"/>
    <x v="8"/>
  </r>
  <r>
    <n v="76"/>
    <x v="61"/>
    <n v="2"/>
    <n v="767.8"/>
    <x v="8"/>
  </r>
  <r>
    <n v="77"/>
    <x v="62"/>
    <n v="5"/>
    <n v="1719.4099999999999"/>
    <x v="8"/>
  </r>
  <r>
    <n v="78"/>
    <x v="63"/>
    <n v="2"/>
    <n v="1009.8"/>
    <x v="8"/>
  </r>
  <r>
    <n v="79"/>
    <x v="64"/>
    <n v="1"/>
    <n v="2198.9"/>
    <x v="8"/>
  </r>
  <r>
    <n v="80"/>
    <x v="65"/>
    <n v="1"/>
    <n v="4203.1219999999994"/>
    <x v="8"/>
  </r>
  <r>
    <n v="81"/>
    <x v="66"/>
    <n v="1"/>
    <n v="2308.9"/>
    <x v="9"/>
  </r>
  <r>
    <n v="82"/>
    <x v="67"/>
    <n v="3"/>
    <n v="2013"/>
    <x v="10"/>
  </r>
  <r>
    <n v="83"/>
    <x v="68"/>
    <n v="3"/>
    <n v="5969.7000000000007"/>
    <x v="10"/>
  </r>
  <r>
    <n v="84"/>
    <x v="69"/>
    <n v="1"/>
    <n v="13750"/>
    <x v="10"/>
  </r>
  <r>
    <n v="85"/>
    <x v="67"/>
    <n v="5"/>
    <n v="3355"/>
    <x v="10"/>
  </r>
  <r>
    <n v="86"/>
    <x v="70"/>
    <n v="1"/>
    <n v="3848.9"/>
    <x v="10"/>
  </r>
  <r>
    <n v="87"/>
    <x v="71"/>
    <n v="1"/>
    <n v="515.9"/>
    <x v="10"/>
  </r>
  <r>
    <n v="88"/>
    <x v="67"/>
    <n v="2"/>
    <n v="1342"/>
    <x v="10"/>
  </r>
  <r>
    <n v="89"/>
    <x v="72"/>
    <n v="2"/>
    <n v="1331"/>
    <x v="10"/>
  </r>
  <r>
    <n v="90"/>
    <x v="73"/>
    <n v="1"/>
    <n v="1648.9"/>
    <x v="10"/>
  </r>
  <r>
    <n v="91"/>
    <x v="67"/>
    <n v="3"/>
    <n v="2013"/>
    <x v="10"/>
  </r>
  <r>
    <n v="92"/>
    <x v="74"/>
    <n v="4"/>
    <n v="3515.6"/>
    <x v="11"/>
  </r>
  <r>
    <n v="93"/>
    <x v="75"/>
    <n v="1"/>
    <n v="8798.9"/>
    <x v="11"/>
  </r>
  <r>
    <n v="94"/>
    <x v="76"/>
    <n v="1"/>
    <n v="3495.8"/>
    <x v="11"/>
  </r>
  <r>
    <n v="95"/>
    <x v="77"/>
    <n v="1"/>
    <n v="15090.921999999999"/>
    <x v="11"/>
  </r>
  <r>
    <n v="96"/>
    <x v="78"/>
    <n v="1"/>
    <n v="1098.9000000000001"/>
    <x v="11"/>
  </r>
  <r>
    <n v="97"/>
    <x v="79"/>
    <n v="1"/>
    <n v="2440.9"/>
    <x v="11"/>
  </r>
  <r>
    <n v="98"/>
    <x v="80"/>
    <n v="3"/>
    <n v="2095.5996599999999"/>
    <x v="11"/>
  </r>
  <r>
    <n v="99"/>
    <x v="81"/>
    <n v="2"/>
    <n v="3517.8"/>
    <x v="11"/>
  </r>
  <r>
    <n v="100"/>
    <x v="81"/>
    <n v="3"/>
    <n v="5276.7000000000007"/>
    <x v="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5"/>
    <n v="530.75"/>
    <x v="0"/>
  </r>
  <r>
    <x v="1"/>
    <n v="2"/>
    <n v="289.3"/>
    <x v="0"/>
  </r>
  <r>
    <x v="1"/>
    <n v="2"/>
    <n v="289.3"/>
    <x v="0"/>
  </r>
  <r>
    <x v="1"/>
    <n v="1"/>
    <n v="144.65"/>
    <x v="0"/>
  </r>
  <r>
    <x v="2"/>
    <n v="2"/>
    <n v="384.34000000000009"/>
    <x v="0"/>
  </r>
  <r>
    <x v="3"/>
    <n v="1"/>
    <n v="40.391999999999975"/>
    <x v="0"/>
  </r>
  <r>
    <x v="4"/>
    <n v="1"/>
    <n v="385.99000000000012"/>
    <x v="0"/>
  </r>
  <r>
    <x v="5"/>
    <n v="2"/>
    <n v="83.160000000000025"/>
    <x v="0"/>
  </r>
  <r>
    <x v="6"/>
    <n v="1"/>
    <n v="274.8900000000001"/>
    <x v="0"/>
  </r>
  <r>
    <x v="7"/>
    <n v="2"/>
    <n v="342.98000000000025"/>
    <x v="0"/>
  </r>
  <r>
    <x v="0"/>
    <n v="2"/>
    <n v="169.84"/>
    <x v="0"/>
  </r>
  <r>
    <x v="8"/>
    <n v="2"/>
    <n v="505.7800000000002"/>
    <x v="1"/>
  </r>
  <r>
    <x v="8"/>
    <n v="2"/>
    <n v="404.62400000000019"/>
    <x v="1"/>
  </r>
  <r>
    <x v="9"/>
    <n v="9"/>
    <n v="86.32800000000006"/>
    <x v="1"/>
  </r>
  <r>
    <x v="10"/>
    <n v="3"/>
    <n v="209.97899999999993"/>
    <x v="1"/>
  </r>
  <r>
    <x v="11"/>
    <n v="7"/>
    <n v="159.54399999999981"/>
    <x v="1"/>
  </r>
  <r>
    <x v="12"/>
    <n v="2"/>
    <n v="189.6400000000001"/>
    <x v="1"/>
  </r>
  <r>
    <x v="13"/>
    <n v="1"/>
    <n v="272.4699999999998"/>
    <x v="1"/>
  </r>
  <r>
    <x v="14"/>
    <n v="2"/>
    <n v="396.88"/>
    <x v="1"/>
  </r>
  <r>
    <x v="15"/>
    <n v="2"/>
    <n v="320.98000000000025"/>
    <x v="1"/>
  </r>
  <r>
    <x v="12"/>
    <n v="3"/>
    <n v="284.46000000000015"/>
    <x v="1"/>
  </r>
  <r>
    <x v="16"/>
    <n v="1"/>
    <n v="1171.2799999999991"/>
    <x v="1"/>
  </r>
  <r>
    <x v="17"/>
    <n v="1"/>
    <n v="310.09000000000009"/>
    <x v="2"/>
  </r>
  <r>
    <x v="18"/>
    <n v="2"/>
    <n v="475.02400000000023"/>
    <x v="2"/>
  </r>
  <r>
    <x v="19"/>
    <n v="1"/>
    <n v="329.8900000000001"/>
    <x v="2"/>
  </r>
  <r>
    <x v="20"/>
    <n v="1"/>
    <n v="497.2"/>
    <x v="2"/>
  </r>
  <r>
    <x v="21"/>
    <n v="1"/>
    <n v="326.59000000000009"/>
    <x v="2"/>
  </r>
  <r>
    <x v="19"/>
    <n v="1"/>
    <n v="329.8900000000001"/>
    <x v="2"/>
  </r>
  <r>
    <x v="22"/>
    <n v="2"/>
    <n v="211.0240000000002"/>
    <x v="3"/>
  </r>
  <r>
    <x v="23"/>
    <n v="2"/>
    <n v="332.2"/>
    <x v="3"/>
  </r>
  <r>
    <x v="24"/>
    <n v="1"/>
    <n v="879.88999999999953"/>
    <x v="3"/>
  </r>
  <r>
    <x v="25"/>
    <n v="2"/>
    <n v="496.1"/>
    <x v="3"/>
  </r>
  <r>
    <x v="26"/>
    <n v="1"/>
    <n v="364.23199999999957"/>
    <x v="3"/>
  </r>
  <r>
    <x v="23"/>
    <n v="2"/>
    <n v="265.76"/>
    <x v="3"/>
  </r>
  <r>
    <x v="27"/>
    <n v="1"/>
    <n v="337.59000000000009"/>
    <x v="3"/>
  </r>
  <r>
    <x v="23"/>
    <n v="3"/>
    <n v="498.3"/>
    <x v="3"/>
  </r>
  <r>
    <x v="28"/>
    <n v="1"/>
    <n v="373.8900000000001"/>
    <x v="3"/>
  </r>
  <r>
    <x v="29"/>
    <n v="2"/>
    <n v="505.7800000000002"/>
    <x v="3"/>
  </r>
  <r>
    <x v="23"/>
    <n v="1"/>
    <n v="166.1"/>
    <x v="3"/>
  </r>
  <r>
    <x v="30"/>
    <n v="2"/>
    <n v="483.7800000000002"/>
    <x v="3"/>
  </r>
  <r>
    <x v="31"/>
    <n v="2"/>
    <n v="565.18000000000018"/>
    <x v="3"/>
  </r>
  <r>
    <x v="27"/>
    <n v="2"/>
    <n v="675.18000000000018"/>
    <x v="3"/>
  </r>
  <r>
    <x v="32"/>
    <n v="1"/>
    <n v="170.3900000000001"/>
    <x v="3"/>
  </r>
  <r>
    <x v="33"/>
    <n v="10"/>
    <n v="181.5"/>
    <x v="3"/>
  </r>
  <r>
    <x v="34"/>
    <n v="2"/>
    <n v="325.42400000000021"/>
    <x v="3"/>
  </r>
  <r>
    <x v="35"/>
    <n v="4"/>
    <n v="219.55999999999989"/>
    <x v="4"/>
  </r>
  <r>
    <x v="36"/>
    <n v="3"/>
    <n v="251.55900000000031"/>
    <x v="4"/>
  </r>
  <r>
    <x v="37"/>
    <n v="2"/>
    <n v="270.88600000000019"/>
    <x v="4"/>
  </r>
  <r>
    <x v="38"/>
    <n v="1"/>
    <n v="527.88999999999953"/>
    <x v="4"/>
  </r>
  <r>
    <x v="38"/>
    <n v="1"/>
    <n v="527.88999999999953"/>
    <x v="4"/>
  </r>
  <r>
    <x v="39"/>
    <n v="10"/>
    <n v="87.120000000000061"/>
    <x v="5"/>
  </r>
  <r>
    <x v="40"/>
    <n v="2"/>
    <n v="813.7800000000002"/>
    <x v="5"/>
  </r>
  <r>
    <x v="41"/>
    <n v="3"/>
    <n v="158.06999999999991"/>
    <x v="5"/>
  </r>
  <r>
    <x v="42"/>
    <n v="8"/>
    <n v="252.73599999999979"/>
    <x v="5"/>
  </r>
  <r>
    <x v="43"/>
    <n v="3"/>
    <n v="200.96999999999991"/>
    <x v="5"/>
  </r>
  <r>
    <x v="44"/>
    <n v="1"/>
    <n v="537.13000000000022"/>
    <x v="5"/>
  </r>
  <r>
    <x v="44"/>
    <n v="1"/>
    <n v="537.13000000000022"/>
    <x v="5"/>
  </r>
  <r>
    <x v="43"/>
    <n v="2"/>
    <n v="93.785999999999945"/>
    <x v="5"/>
  </r>
  <r>
    <x v="45"/>
    <n v="2"/>
    <n v="850.52000000000089"/>
    <x v="5"/>
  </r>
  <r>
    <x v="46"/>
    <n v="1"/>
    <n v="464.75"/>
    <x v="6"/>
  </r>
  <r>
    <x v="47"/>
    <n v="5"/>
    <n v="213.94999999999987"/>
    <x v="6"/>
  </r>
  <r>
    <x v="48"/>
    <n v="1"/>
    <n v="115.39000000000011"/>
    <x v="6"/>
  </r>
  <r>
    <x v="49"/>
    <n v="1"/>
    <n v="637.88999999999953"/>
    <x v="6"/>
  </r>
  <r>
    <x v="50"/>
    <n v="2"/>
    <n v="387.02400000000023"/>
    <x v="6"/>
  </r>
  <r>
    <x v="51"/>
    <n v="1"/>
    <n v="142.8900000000001"/>
    <x v="6"/>
  </r>
  <r>
    <x v="46"/>
    <n v="1"/>
    <n v="464.75"/>
    <x v="6"/>
  </r>
  <r>
    <x v="52"/>
    <n v="1"/>
    <n v="281.51200000000011"/>
    <x v="7"/>
  </r>
  <r>
    <x v="53"/>
    <n v="2"/>
    <n v="879.77999999999918"/>
    <x v="7"/>
  </r>
  <r>
    <x v="54"/>
    <n v="3"/>
    <n v="45.969000000000023"/>
    <x v="7"/>
  </r>
  <r>
    <x v="55"/>
    <n v="1"/>
    <n v="2617.9230000000016"/>
    <x v="7"/>
  </r>
  <r>
    <x v="56"/>
    <n v="1"/>
    <n v="434.38999999999959"/>
    <x v="7"/>
  </r>
  <r>
    <x v="57"/>
    <n v="2"/>
    <n v="358.16"/>
    <x v="7"/>
  </r>
  <r>
    <x v="58"/>
    <n v="1"/>
    <n v="336.49000000000012"/>
    <x v="7"/>
  </r>
  <r>
    <x v="59"/>
    <n v="1"/>
    <n v="223.2230000000001"/>
    <x v="8"/>
  </r>
  <r>
    <x v="60"/>
    <n v="2"/>
    <n v="105.42399999999995"/>
    <x v="8"/>
  </r>
  <r>
    <x v="61"/>
    <n v="2"/>
    <n v="76.779999999999944"/>
    <x v="8"/>
  </r>
  <r>
    <x v="62"/>
    <n v="5"/>
    <n v="140.35999999999987"/>
    <x v="8"/>
  </r>
  <r>
    <x v="63"/>
    <n v="2"/>
    <n v="100.97999999999995"/>
    <x v="8"/>
  </r>
  <r>
    <x v="64"/>
    <n v="1"/>
    <n v="219.8900000000001"/>
    <x v="8"/>
  </r>
  <r>
    <x v="65"/>
    <n v="1"/>
    <n v="343.11199999999957"/>
    <x v="8"/>
  </r>
  <r>
    <x v="66"/>
    <n v="1"/>
    <n v="230.8900000000001"/>
    <x v="9"/>
  </r>
  <r>
    <x v="67"/>
    <n v="3"/>
    <n v="201.3"/>
    <x v="10"/>
  </r>
  <r>
    <x v="68"/>
    <n v="3"/>
    <n v="596.97000000000037"/>
    <x v="10"/>
  </r>
  <r>
    <x v="69"/>
    <n v="1"/>
    <n v="1375"/>
    <x v="10"/>
  </r>
  <r>
    <x v="67"/>
    <n v="5"/>
    <n v="335.5"/>
    <x v="10"/>
  </r>
  <r>
    <x v="70"/>
    <n v="1"/>
    <n v="384.8900000000001"/>
    <x v="10"/>
  </r>
  <r>
    <x v="71"/>
    <n v="1"/>
    <n v="51.589999999999975"/>
    <x v="10"/>
  </r>
  <r>
    <x v="67"/>
    <n v="2"/>
    <n v="134.19999999999999"/>
    <x v="10"/>
  </r>
  <r>
    <x v="72"/>
    <n v="2"/>
    <n v="133.1"/>
    <x v="10"/>
  </r>
  <r>
    <x v="73"/>
    <n v="1"/>
    <n v="164.8900000000001"/>
    <x v="10"/>
  </r>
  <r>
    <x v="67"/>
    <n v="3"/>
    <n v="201.3"/>
    <x v="10"/>
  </r>
  <r>
    <x v="74"/>
    <n v="4"/>
    <n v="351.55999999999989"/>
    <x v="11"/>
  </r>
  <r>
    <x v="75"/>
    <n v="1"/>
    <n v="879.88999999999953"/>
    <x v="11"/>
  </r>
  <r>
    <x v="76"/>
    <n v="1"/>
    <n v="349.58000000000021"/>
    <x v="11"/>
  </r>
  <r>
    <x v="77"/>
    <n v="1"/>
    <n v="1231.9119999999996"/>
    <x v="11"/>
  </r>
  <r>
    <x v="78"/>
    <n v="1"/>
    <n v="109.89000000000011"/>
    <x v="11"/>
  </r>
  <r>
    <x v="79"/>
    <n v="1"/>
    <n v="244.09000000000012"/>
    <x v="11"/>
  </r>
  <r>
    <x v="80"/>
    <n v="3"/>
    <n v="171.06935999999993"/>
    <x v="11"/>
  </r>
  <r>
    <x v="81"/>
    <n v="2"/>
    <n v="351.7800000000002"/>
    <x v="11"/>
  </r>
  <r>
    <x v="81"/>
    <n v="3"/>
    <n v="527.6700000000003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BF0F-C90E-4110-943C-86CF06A8D57E}" name="PivotTable4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G103:H116" firstHeaderRow="1" firstDataRow="1" firstDataCol="1"/>
  <pivotFields count="2">
    <pivotField dataField="1" numFmtId="4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Profit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CACC75-0ABE-4050-BFB4-F91C051CF103}" name="PivotTable3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rowHeaderCaption="Month">
  <location ref="A103:B116" firstHeaderRow="1" firstDataRow="1" firstDataCol="1"/>
  <pivotFields count="4">
    <pivotField showAll="0">
      <items count="84">
        <item x="58"/>
        <item x="46"/>
        <item x="56"/>
        <item x="26"/>
        <item x="43"/>
        <item x="54"/>
        <item x="30"/>
        <item x="19"/>
        <item x="34"/>
        <item x="59"/>
        <item x="63"/>
        <item x="27"/>
        <item x="3"/>
        <item x="64"/>
        <item x="61"/>
        <item x="48"/>
        <item x="15"/>
        <item x="67"/>
        <item x="2"/>
        <item x="79"/>
        <item x="45"/>
        <item x="81"/>
        <item x="72"/>
        <item x="13"/>
        <item x="16"/>
        <item x="69"/>
        <item x="5"/>
        <item x="21"/>
        <item x="65"/>
        <item x="40"/>
        <item x="50"/>
        <item x="49"/>
        <item x="73"/>
        <item x="53"/>
        <item x="28"/>
        <item x="55"/>
        <item x="9"/>
        <item x="57"/>
        <item x="7"/>
        <item x="37"/>
        <item x="29"/>
        <item x="76"/>
        <item x="20"/>
        <item x="62"/>
        <item x="78"/>
        <item x="25"/>
        <item x="14"/>
        <item x="17"/>
        <item x="24"/>
        <item x="52"/>
        <item x="77"/>
        <item x="36"/>
        <item x="60"/>
        <item x="39"/>
        <item x="1"/>
        <item x="47"/>
        <item x="10"/>
        <item x="8"/>
        <item x="22"/>
        <item x="0"/>
        <item x="32"/>
        <item x="12"/>
        <item x="41"/>
        <item x="68"/>
        <item x="35"/>
        <item x="80"/>
        <item x="44"/>
        <item x="23"/>
        <item x="51"/>
        <item x="82"/>
        <item x="33"/>
        <item x="11"/>
        <item x="71"/>
        <item x="31"/>
        <item x="18"/>
        <item x="75"/>
        <item x="66"/>
        <item x="4"/>
        <item x="70"/>
        <item x="42"/>
        <item x="74"/>
        <item x="6"/>
        <item x="38"/>
        <item t="default"/>
      </items>
    </pivotField>
    <pivotField showAll="0"/>
    <pivotField dataField="1" numFmtId="4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Sales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D06BC-4478-4B82-9EE6-5712038E909F}" name="PivotTable2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>
  <location ref="G3:J99" firstHeaderRow="1" firstDataRow="2" firstDataCol="2"/>
  <pivotFields count="4">
    <pivotField axis="axisRow" compact="0" outline="0" showAll="0" sortType="descending">
      <items count="84">
        <item x="58"/>
        <item x="46"/>
        <item x="56"/>
        <item x="26"/>
        <item x="43"/>
        <item x="54"/>
        <item x="30"/>
        <item x="19"/>
        <item x="34"/>
        <item x="59"/>
        <item x="63"/>
        <item x="27"/>
        <item x="3"/>
        <item x="64"/>
        <item x="61"/>
        <item x="48"/>
        <item x="15"/>
        <item x="67"/>
        <item x="2"/>
        <item x="79"/>
        <item x="45"/>
        <item x="81"/>
        <item x="72"/>
        <item x="13"/>
        <item x="16"/>
        <item x="69"/>
        <item x="5"/>
        <item x="21"/>
        <item x="65"/>
        <item x="40"/>
        <item x="50"/>
        <item x="49"/>
        <item x="73"/>
        <item x="53"/>
        <item x="28"/>
        <item x="55"/>
        <item x="9"/>
        <item x="57"/>
        <item x="7"/>
        <item x="37"/>
        <item x="29"/>
        <item x="76"/>
        <item x="20"/>
        <item x="62"/>
        <item x="78"/>
        <item x="25"/>
        <item x="14"/>
        <item x="17"/>
        <item x="24"/>
        <item x="52"/>
        <item x="77"/>
        <item x="36"/>
        <item x="60"/>
        <item x="39"/>
        <item x="1"/>
        <item x="47"/>
        <item x="10"/>
        <item x="8"/>
        <item x="22"/>
        <item x="0"/>
        <item x="32"/>
        <item x="12"/>
        <item x="41"/>
        <item x="68"/>
        <item x="35"/>
        <item x="80"/>
        <item x="44"/>
        <item x="23"/>
        <item x="51"/>
        <item m="1" x="82"/>
        <item x="33"/>
        <item x="11"/>
        <item x="71"/>
        <item x="31"/>
        <item x="18"/>
        <item x="75"/>
        <item x="66"/>
        <item x="4"/>
        <item x="70"/>
        <item x="42"/>
        <item x="74"/>
        <item x="6"/>
        <item x="3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  <pivotField dataField="1" compact="0" numFmtId="44" outline="0" showAll="0"/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3"/>
    <field x="0"/>
  </rowFields>
  <rowItems count="95">
    <i>
      <x/>
      <x v="54"/>
    </i>
    <i r="1">
      <x v="59"/>
    </i>
    <i r="1">
      <x v="77"/>
    </i>
    <i r="1">
      <x v="18"/>
    </i>
    <i r="1">
      <x v="38"/>
    </i>
    <i r="1">
      <x v="81"/>
    </i>
    <i r="1">
      <x v="26"/>
    </i>
    <i r="1">
      <x v="12"/>
    </i>
    <i t="default">
      <x/>
    </i>
    <i>
      <x v="1"/>
      <x v="24"/>
    </i>
    <i r="1">
      <x v="57"/>
    </i>
    <i r="1">
      <x v="61"/>
    </i>
    <i r="1">
      <x v="46"/>
    </i>
    <i r="1">
      <x v="16"/>
    </i>
    <i r="1">
      <x v="23"/>
    </i>
    <i r="1">
      <x v="56"/>
    </i>
    <i r="1">
      <x v="71"/>
    </i>
    <i r="1">
      <x v="36"/>
    </i>
    <i t="default">
      <x v="1"/>
    </i>
    <i>
      <x v="2"/>
      <x v="7"/>
    </i>
    <i r="1">
      <x v="42"/>
    </i>
    <i r="1">
      <x v="74"/>
    </i>
    <i r="1">
      <x v="27"/>
    </i>
    <i r="1">
      <x v="47"/>
    </i>
    <i t="default">
      <x v="2"/>
    </i>
    <i>
      <x v="3"/>
      <x v="67"/>
    </i>
    <i r="1">
      <x v="11"/>
    </i>
    <i r="1">
      <x v="48"/>
    </i>
    <i r="1">
      <x v="73"/>
    </i>
    <i r="1">
      <x v="40"/>
    </i>
    <i r="1">
      <x v="45"/>
    </i>
    <i r="1">
      <x v="6"/>
    </i>
    <i r="1">
      <x v="34"/>
    </i>
    <i r="1">
      <x v="3"/>
    </i>
    <i r="1">
      <x v="8"/>
    </i>
    <i r="1">
      <x v="58"/>
    </i>
    <i r="1">
      <x v="70"/>
    </i>
    <i r="1">
      <x v="60"/>
    </i>
    <i t="default">
      <x v="3"/>
    </i>
    <i>
      <x v="4"/>
      <x v="82"/>
    </i>
    <i r="1">
      <x v="39"/>
    </i>
    <i r="1">
      <x v="51"/>
    </i>
    <i r="1">
      <x v="64"/>
    </i>
    <i t="default">
      <x v="4"/>
    </i>
    <i>
      <x v="5"/>
      <x v="66"/>
    </i>
    <i r="1">
      <x v="20"/>
    </i>
    <i r="1">
      <x v="29"/>
    </i>
    <i r="1">
      <x v="4"/>
    </i>
    <i r="1">
      <x v="79"/>
    </i>
    <i r="1">
      <x v="62"/>
    </i>
    <i r="1">
      <x v="53"/>
    </i>
    <i t="default">
      <x v="5"/>
    </i>
    <i>
      <x v="6"/>
      <x v="1"/>
    </i>
    <i r="1">
      <x v="31"/>
    </i>
    <i r="1">
      <x v="30"/>
    </i>
    <i r="1">
      <x v="55"/>
    </i>
    <i r="1">
      <x v="68"/>
    </i>
    <i r="1">
      <x v="15"/>
    </i>
    <i t="default">
      <x v="6"/>
    </i>
    <i>
      <x v="7"/>
      <x v="35"/>
    </i>
    <i r="1">
      <x v="33"/>
    </i>
    <i r="1">
      <x v="2"/>
    </i>
    <i r="1">
      <x v="37"/>
    </i>
    <i r="1">
      <x/>
    </i>
    <i r="1">
      <x v="49"/>
    </i>
    <i r="1">
      <x v="5"/>
    </i>
    <i t="default">
      <x v="7"/>
    </i>
    <i>
      <x v="8"/>
      <x v="28"/>
    </i>
    <i r="1">
      <x v="9"/>
    </i>
    <i r="1">
      <x v="13"/>
    </i>
    <i r="1">
      <x v="43"/>
    </i>
    <i r="1">
      <x v="52"/>
    </i>
    <i r="1">
      <x v="10"/>
    </i>
    <i r="1">
      <x v="14"/>
    </i>
    <i t="default">
      <x v="8"/>
    </i>
    <i>
      <x v="9"/>
      <x v="76"/>
    </i>
    <i t="default">
      <x v="9"/>
    </i>
    <i>
      <x v="10"/>
      <x v="25"/>
    </i>
    <i r="1">
      <x v="17"/>
    </i>
    <i r="1">
      <x v="63"/>
    </i>
    <i r="1">
      <x v="78"/>
    </i>
    <i r="1">
      <x v="32"/>
    </i>
    <i r="1">
      <x v="22"/>
    </i>
    <i r="1">
      <x v="72"/>
    </i>
    <i t="default">
      <x v="10"/>
    </i>
    <i>
      <x v="11"/>
      <x v="50"/>
    </i>
    <i r="1">
      <x v="75"/>
    </i>
    <i r="1">
      <x v="21"/>
    </i>
    <i r="1">
      <x v="80"/>
    </i>
    <i r="1">
      <x v="41"/>
    </i>
    <i r="1">
      <x v="19"/>
    </i>
    <i r="1">
      <x v="65"/>
    </i>
    <i r="1">
      <x v="44"/>
    </i>
    <i t="default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2" baseField="0" baseItem="0"/>
    <dataField name="Sum of Quantity Sold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3E1CE5-981A-4A43-8EF8-63E6B8BB6887}" name="PivotTable1" cacheId="4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>
  <location ref="A3:D99" firstHeaderRow="1" firstDataRow="2" firstDataCol="2"/>
  <pivotFields count="5">
    <pivotField compact="0" outline="0" showAll="0"/>
    <pivotField axis="axisRow" compact="0" outline="0" showAll="0" sortType="descending">
      <items count="84">
        <item x="58"/>
        <item x="46"/>
        <item x="56"/>
        <item x="26"/>
        <item x="43"/>
        <item x="54"/>
        <item x="30"/>
        <item x="19"/>
        <item x="34"/>
        <item x="59"/>
        <item x="63"/>
        <item x="27"/>
        <item x="3"/>
        <item x="64"/>
        <item x="61"/>
        <item x="48"/>
        <item x="15"/>
        <item x="67"/>
        <item x="2"/>
        <item x="79"/>
        <item x="45"/>
        <item x="81"/>
        <item x="72"/>
        <item x="13"/>
        <item x="16"/>
        <item x="69"/>
        <item x="5"/>
        <item x="21"/>
        <item x="65"/>
        <item x="40"/>
        <item x="50"/>
        <item x="49"/>
        <item x="73"/>
        <item x="53"/>
        <item x="28"/>
        <item x="55"/>
        <item x="9"/>
        <item x="57"/>
        <item x="7"/>
        <item x="37"/>
        <item x="29"/>
        <item x="76"/>
        <item x="20"/>
        <item x="62"/>
        <item x="78"/>
        <item x="25"/>
        <item x="14"/>
        <item x="17"/>
        <item x="24"/>
        <item x="52"/>
        <item x="77"/>
        <item x="36"/>
        <item x="60"/>
        <item x="39"/>
        <item x="1"/>
        <item x="47"/>
        <item x="10"/>
        <item x="8"/>
        <item x="22"/>
        <item x="0"/>
        <item x="32"/>
        <item x="12"/>
        <item x="41"/>
        <item x="68"/>
        <item x="35"/>
        <item x="80"/>
        <item x="44"/>
        <item x="23"/>
        <item x="51"/>
        <item m="1" x="82"/>
        <item x="33"/>
        <item x="11"/>
        <item x="71"/>
        <item x="31"/>
        <item x="18"/>
        <item x="75"/>
        <item x="66"/>
        <item x="4"/>
        <item x="70"/>
        <item x="42"/>
        <item x="74"/>
        <item x="6"/>
        <item x="3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  <pivotField dataField="1" compact="0" numFmtId="44" outline="0" showAll="0"/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4"/>
    <field x="1"/>
  </rowFields>
  <rowItems count="95">
    <i>
      <x/>
      <x v="59"/>
    </i>
    <i r="1">
      <x v="54"/>
    </i>
    <i r="1">
      <x v="77"/>
    </i>
    <i r="1">
      <x v="18"/>
    </i>
    <i r="1">
      <x v="38"/>
    </i>
    <i r="1">
      <x v="81"/>
    </i>
    <i r="1">
      <x v="26"/>
    </i>
    <i r="1">
      <x v="12"/>
    </i>
    <i t="default">
      <x/>
    </i>
    <i>
      <x v="1"/>
      <x v="24"/>
    </i>
    <i r="1">
      <x v="57"/>
    </i>
    <i r="1">
      <x v="46"/>
    </i>
    <i r="1">
      <x v="61"/>
    </i>
    <i r="1">
      <x v="16"/>
    </i>
    <i r="1">
      <x v="56"/>
    </i>
    <i r="1">
      <x v="23"/>
    </i>
    <i r="1">
      <x v="71"/>
    </i>
    <i r="1">
      <x v="36"/>
    </i>
    <i t="default">
      <x v="1"/>
    </i>
    <i>
      <x v="2"/>
      <x v="7"/>
    </i>
    <i r="1">
      <x v="74"/>
    </i>
    <i r="1">
      <x v="42"/>
    </i>
    <i r="1">
      <x v="27"/>
    </i>
    <i r="1">
      <x v="47"/>
    </i>
    <i t="default">
      <x v="2"/>
    </i>
    <i>
      <x v="3"/>
      <x v="67"/>
    </i>
    <i r="1">
      <x v="11"/>
    </i>
    <i r="1">
      <x v="48"/>
    </i>
    <i r="1">
      <x v="73"/>
    </i>
    <i r="1">
      <x v="40"/>
    </i>
    <i r="1">
      <x v="45"/>
    </i>
    <i r="1">
      <x v="6"/>
    </i>
    <i r="1">
      <x v="3"/>
    </i>
    <i r="1">
      <x v="8"/>
    </i>
    <i r="1">
      <x v="34"/>
    </i>
    <i r="1">
      <x v="58"/>
    </i>
    <i r="1">
      <x v="70"/>
    </i>
    <i r="1">
      <x v="60"/>
    </i>
    <i t="default">
      <x v="3"/>
    </i>
    <i>
      <x v="4"/>
      <x v="82"/>
    </i>
    <i r="1">
      <x v="39"/>
    </i>
    <i r="1">
      <x v="51"/>
    </i>
    <i r="1">
      <x v="64"/>
    </i>
    <i t="default">
      <x v="4"/>
    </i>
    <i>
      <x v="5"/>
      <x v="66"/>
    </i>
    <i r="1">
      <x v="20"/>
    </i>
    <i r="1">
      <x v="29"/>
    </i>
    <i r="1">
      <x v="4"/>
    </i>
    <i r="1">
      <x v="79"/>
    </i>
    <i r="1">
      <x v="62"/>
    </i>
    <i r="1">
      <x v="53"/>
    </i>
    <i t="default">
      <x v="5"/>
    </i>
    <i>
      <x v="6"/>
      <x v="1"/>
    </i>
    <i r="1">
      <x v="31"/>
    </i>
    <i r="1">
      <x v="30"/>
    </i>
    <i r="1">
      <x v="55"/>
    </i>
    <i r="1">
      <x v="68"/>
    </i>
    <i r="1">
      <x v="15"/>
    </i>
    <i t="default">
      <x v="6"/>
    </i>
    <i>
      <x v="7"/>
      <x v="35"/>
    </i>
    <i r="1">
      <x v="33"/>
    </i>
    <i r="1">
      <x v="37"/>
    </i>
    <i r="1">
      <x v="2"/>
    </i>
    <i r="1">
      <x v="49"/>
    </i>
    <i r="1">
      <x/>
    </i>
    <i r="1">
      <x v="5"/>
    </i>
    <i t="default">
      <x v="7"/>
    </i>
    <i>
      <x v="8"/>
      <x v="28"/>
    </i>
    <i r="1">
      <x v="9"/>
    </i>
    <i r="1">
      <x v="13"/>
    </i>
    <i r="1">
      <x v="43"/>
    </i>
    <i r="1">
      <x v="52"/>
    </i>
    <i r="1">
      <x v="10"/>
    </i>
    <i r="1">
      <x v="14"/>
    </i>
    <i t="default">
      <x v="8"/>
    </i>
    <i>
      <x v="9"/>
      <x v="76"/>
    </i>
    <i t="default">
      <x v="9"/>
    </i>
    <i>
      <x v="10"/>
      <x v="25"/>
    </i>
    <i r="1">
      <x v="17"/>
    </i>
    <i r="1">
      <x v="63"/>
    </i>
    <i r="1">
      <x v="78"/>
    </i>
    <i r="1">
      <x v="32"/>
    </i>
    <i r="1">
      <x v="22"/>
    </i>
    <i r="1">
      <x v="72"/>
    </i>
    <i t="default">
      <x v="10"/>
    </i>
    <i>
      <x v="11"/>
      <x v="50"/>
    </i>
    <i r="1">
      <x v="75"/>
    </i>
    <i r="1">
      <x v="21"/>
    </i>
    <i r="1">
      <x v="80"/>
    </i>
    <i r="1">
      <x v="41"/>
    </i>
    <i r="1">
      <x v="19"/>
    </i>
    <i r="1">
      <x v="65"/>
    </i>
    <i r="1">
      <x v="44"/>
    </i>
    <i t="default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3" baseField="0" baseItem="0"/>
    <dataField name="Sum of Quantity Sol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AABF56-1721-4824-A111-9F1947275A8B}" name="PivotTable6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1">
  <location ref="O3:P88" firstHeaderRow="2" firstDataRow="2" firstDataCol="1"/>
  <pivotFields count="2">
    <pivotField axis="axisRow" compact="0" outline="0" showAll="0">
      <items count="84">
        <item x="47"/>
        <item x="9"/>
        <item x="33"/>
        <item x="31"/>
        <item x="48"/>
        <item x="80"/>
        <item x="28"/>
        <item x="18"/>
        <item x="35"/>
        <item x="53"/>
        <item x="77"/>
        <item x="7"/>
        <item x="82"/>
        <item x="60"/>
        <item x="79"/>
        <item x="73"/>
        <item x="50"/>
        <item x="14"/>
        <item x="38"/>
        <item x="58"/>
        <item x="15"/>
        <item x="13"/>
        <item x="71"/>
        <item x="56"/>
        <item x="4"/>
        <item x="2"/>
        <item x="78"/>
        <item x="49"/>
        <item x="34"/>
        <item x="16"/>
        <item x="29"/>
        <item x="19"/>
        <item x="68"/>
        <item x="12"/>
        <item x="40"/>
        <item x="0"/>
        <item x="76"/>
        <item x="32"/>
        <item x="46"/>
        <item x="39"/>
        <item x="24"/>
        <item x="43"/>
        <item x="25"/>
        <item x="66"/>
        <item x="74"/>
        <item x="26"/>
        <item x="27"/>
        <item x="51"/>
        <item x="10"/>
        <item x="45"/>
        <item x="1"/>
        <item x="44"/>
        <item x="72"/>
        <item x="75"/>
        <item x="17"/>
        <item x="62"/>
        <item x="54"/>
        <item x="8"/>
        <item x="57"/>
        <item x="23"/>
        <item x="67"/>
        <item x="30"/>
        <item x="69"/>
        <item x="20"/>
        <item x="61"/>
        <item x="63"/>
        <item x="5"/>
        <item x="3"/>
        <item x="70"/>
        <item x="41"/>
        <item x="65"/>
        <item x="64"/>
        <item x="81"/>
        <item x="22"/>
        <item x="21"/>
        <item x="11"/>
        <item x="59"/>
        <item x="36"/>
        <item x="37"/>
        <item x="52"/>
        <item x="42"/>
        <item x="55"/>
        <item x="6"/>
        <item t="default"/>
      </items>
    </pivotField>
    <pivotField dataField="1" compact="0" outline="0"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Items count="1">
    <i/>
  </colItems>
  <dataFields count="1">
    <dataField name="Sum of Quantity Sold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0"/>
  <sheetViews>
    <sheetView zoomScale="70" zoomScaleNormal="70" workbookViewId="0">
      <selection activeCell="A11" sqref="A11"/>
    </sheetView>
  </sheetViews>
  <sheetFormatPr baseColWidth="10" defaultColWidth="14.5" defaultRowHeight="15" customHeight="1" x14ac:dyDescent="0.2"/>
  <cols>
    <col min="1" max="8" width="8.83203125" customWidth="1"/>
    <col min="9" max="9" width="15" customWidth="1"/>
    <col min="10" max="10" width="9.5" customWidth="1"/>
    <col min="11" max="11" width="21.83203125" customWidth="1"/>
    <col min="12" max="12" width="17.5" customWidth="1"/>
    <col min="13" max="13" width="8.83203125" customWidth="1"/>
    <col min="14" max="14" width="13.1640625" customWidth="1"/>
    <col min="15" max="26" width="8.83203125" customWidth="1"/>
  </cols>
  <sheetData>
    <row r="1" spans="1:15" x14ac:dyDescent="0.2">
      <c r="A1" s="1" t="s">
        <v>0</v>
      </c>
    </row>
    <row r="2" spans="1:15" x14ac:dyDescent="0.2">
      <c r="A2" s="1">
        <v>1</v>
      </c>
      <c r="B2" s="1" t="s">
        <v>1</v>
      </c>
      <c r="H2" s="1" t="s">
        <v>2</v>
      </c>
    </row>
    <row r="3" spans="1:15" x14ac:dyDescent="0.2">
      <c r="B3" s="1" t="s">
        <v>3</v>
      </c>
      <c r="H3" s="1">
        <v>1</v>
      </c>
      <c r="I3" s="1">
        <v>2</v>
      </c>
      <c r="J3" s="1">
        <v>3</v>
      </c>
      <c r="K3" s="1">
        <v>4</v>
      </c>
      <c r="L3" s="1">
        <v>5</v>
      </c>
      <c r="M3" s="1">
        <v>6</v>
      </c>
      <c r="N3" s="1">
        <v>7</v>
      </c>
      <c r="O3" s="1">
        <v>8</v>
      </c>
    </row>
    <row r="4" spans="1:15" x14ac:dyDescent="0.2">
      <c r="B4" s="1" t="s">
        <v>4</v>
      </c>
      <c r="H4" s="1" t="s">
        <v>5</v>
      </c>
      <c r="I4" s="1" t="s">
        <v>5</v>
      </c>
      <c r="J4" s="1" t="s">
        <v>5</v>
      </c>
      <c r="K4" s="1" t="s">
        <v>5</v>
      </c>
      <c r="L4" s="1" t="s">
        <v>6</v>
      </c>
      <c r="M4" s="1" t="s">
        <v>6</v>
      </c>
      <c r="N4" s="1" t="s">
        <v>6</v>
      </c>
      <c r="O4" s="1" t="s">
        <v>6</v>
      </c>
    </row>
    <row r="5" spans="1:15" x14ac:dyDescent="0.2">
      <c r="A5" s="1">
        <v>2</v>
      </c>
      <c r="B5" s="1" t="s">
        <v>7</v>
      </c>
      <c r="H5" s="1" t="s">
        <v>2</v>
      </c>
    </row>
    <row r="6" spans="1:15" x14ac:dyDescent="0.2">
      <c r="B6" s="1" t="s">
        <v>8</v>
      </c>
      <c r="H6" s="1">
        <v>1</v>
      </c>
      <c r="I6" s="1">
        <v>2</v>
      </c>
      <c r="J6" s="1">
        <v>3</v>
      </c>
      <c r="K6" s="1">
        <v>4</v>
      </c>
      <c r="L6" s="1">
        <v>5</v>
      </c>
      <c r="M6" s="1">
        <v>6</v>
      </c>
      <c r="N6" s="1">
        <v>7</v>
      </c>
      <c r="O6" s="1">
        <v>8</v>
      </c>
    </row>
    <row r="7" spans="1:15" x14ac:dyDescent="0.2">
      <c r="B7" s="1" t="s">
        <v>9</v>
      </c>
      <c r="H7" s="1" t="s">
        <v>431</v>
      </c>
      <c r="I7" s="1" t="s">
        <v>432</v>
      </c>
      <c r="J7" s="1" t="s">
        <v>433</v>
      </c>
      <c r="K7" s="1" t="s">
        <v>434</v>
      </c>
      <c r="L7" s="1" t="s">
        <v>435</v>
      </c>
      <c r="M7" s="1" t="s">
        <v>436</v>
      </c>
      <c r="N7" s="1" t="s">
        <v>437</v>
      </c>
      <c r="O7" s="1" t="s">
        <v>438</v>
      </c>
    </row>
    <row r="8" spans="1:15" x14ac:dyDescent="0.2">
      <c r="A8" s="1">
        <v>3</v>
      </c>
      <c r="B8" s="1" t="s">
        <v>10</v>
      </c>
    </row>
    <row r="11" spans="1:15" ht="15" customHeight="1" x14ac:dyDescent="0.2">
      <c r="A11" s="1"/>
    </row>
    <row r="13" spans="1:15" x14ac:dyDescent="0.2"/>
    <row r="14" spans="1:15" x14ac:dyDescent="0.2"/>
    <row r="15" spans="1:15" x14ac:dyDescent="0.2"/>
    <row r="16" spans="1:15" x14ac:dyDescent="0.2"/>
    <row r="17" x14ac:dyDescent="0.2"/>
    <row r="18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4C8B1-FBDD-4CDA-9478-8B526605A27F}">
  <sheetPr codeName="Sheet5"/>
  <dimension ref="A2:J24"/>
  <sheetViews>
    <sheetView showGridLines="0" zoomScale="55" zoomScaleNormal="55" workbookViewId="0">
      <selection activeCell="K4" sqref="K4"/>
    </sheetView>
  </sheetViews>
  <sheetFormatPr baseColWidth="10" defaultColWidth="8.83203125" defaultRowHeight="15" x14ac:dyDescent="0.2"/>
  <cols>
    <col min="1" max="1" width="2.83203125" customWidth="1"/>
    <col min="2" max="2" width="5.1640625" customWidth="1"/>
    <col min="3" max="3" width="13.5" customWidth="1"/>
    <col min="4" max="4" width="13" customWidth="1"/>
    <col min="5" max="5" width="14.1640625" customWidth="1"/>
    <col min="6" max="6" width="29.1640625" customWidth="1"/>
    <col min="8" max="8" width="18.1640625" customWidth="1"/>
    <col min="9" max="9" width="13.83203125" customWidth="1"/>
  </cols>
  <sheetData>
    <row r="2" spans="1:10" x14ac:dyDescent="0.2">
      <c r="A2" s="13"/>
      <c r="I2" s="13"/>
    </row>
    <row r="3" spans="1:10" x14ac:dyDescent="0.2">
      <c r="A3" s="13"/>
    </row>
    <row r="5" spans="1:10" ht="16" thickBot="1" x14ac:dyDescent="0.25"/>
    <row r="6" spans="1:10" x14ac:dyDescent="0.2">
      <c r="B6" s="14"/>
      <c r="C6" s="15"/>
      <c r="D6" s="15"/>
      <c r="E6" s="15"/>
      <c r="F6" s="15"/>
      <c r="G6" s="15"/>
      <c r="H6" s="15"/>
      <c r="I6" s="15"/>
      <c r="J6" s="16"/>
    </row>
    <row r="7" spans="1:10" x14ac:dyDescent="0.2">
      <c r="B7" s="17"/>
      <c r="C7" s="110" t="s">
        <v>408</v>
      </c>
      <c r="D7" s="111"/>
      <c r="E7" s="50"/>
      <c r="F7" s="37" t="s">
        <v>409</v>
      </c>
      <c r="G7" s="112" t="s">
        <v>410</v>
      </c>
      <c r="H7" s="112"/>
      <c r="I7" s="112"/>
      <c r="J7" s="18"/>
    </row>
    <row r="8" spans="1:10" x14ac:dyDescent="0.2">
      <c r="B8" s="17"/>
      <c r="C8" s="113">
        <v>44262</v>
      </c>
      <c r="D8" s="114"/>
      <c r="E8" s="19"/>
      <c r="F8" s="43" t="s">
        <v>730</v>
      </c>
      <c r="G8" s="112"/>
      <c r="H8" s="112"/>
      <c r="I8" s="112"/>
      <c r="J8" s="18"/>
    </row>
    <row r="9" spans="1:10" ht="18" x14ac:dyDescent="0.2">
      <c r="B9" s="17"/>
      <c r="C9" s="115" t="s">
        <v>411</v>
      </c>
      <c r="D9" s="116"/>
      <c r="E9" s="20"/>
      <c r="F9" s="21" t="s">
        <v>412</v>
      </c>
      <c r="G9" s="22"/>
      <c r="H9" s="23" t="s">
        <v>413</v>
      </c>
      <c r="I9" s="51">
        <v>103</v>
      </c>
      <c r="J9" s="18"/>
    </row>
    <row r="10" spans="1:10" ht="16" x14ac:dyDescent="0.2">
      <c r="B10" s="17"/>
      <c r="C10" s="113"/>
      <c r="D10" s="114"/>
      <c r="E10" s="24"/>
      <c r="F10" s="43"/>
      <c r="G10" s="22"/>
      <c r="H10" s="22"/>
      <c r="I10" s="22"/>
      <c r="J10" s="18"/>
    </row>
    <row r="11" spans="1:10" ht="16" x14ac:dyDescent="0.2">
      <c r="B11" s="17"/>
      <c r="C11" s="22"/>
      <c r="D11" s="22"/>
      <c r="E11" s="22"/>
      <c r="F11" s="22"/>
      <c r="G11" s="22"/>
      <c r="H11" s="22"/>
      <c r="I11" s="22"/>
      <c r="J11" s="18"/>
    </row>
    <row r="12" spans="1:10" ht="29.5" customHeight="1" x14ac:dyDescent="0.2">
      <c r="B12" s="17"/>
      <c r="C12" s="107" t="s">
        <v>414</v>
      </c>
      <c r="D12" s="108"/>
      <c r="E12" s="101" t="s">
        <v>415</v>
      </c>
      <c r="F12" s="109"/>
      <c r="G12" s="25" t="s">
        <v>416</v>
      </c>
      <c r="H12" s="45" t="s">
        <v>417</v>
      </c>
      <c r="I12" s="26" t="s">
        <v>418</v>
      </c>
      <c r="J12" s="18"/>
    </row>
    <row r="13" spans="1:10" ht="35" customHeight="1" thickBot="1" x14ac:dyDescent="0.25">
      <c r="B13" s="17"/>
      <c r="C13" s="105" t="s">
        <v>32</v>
      </c>
      <c r="D13" s="106"/>
      <c r="E13" s="97" t="s">
        <v>31</v>
      </c>
      <c r="F13" s="98"/>
      <c r="G13" s="41"/>
      <c r="H13" s="55">
        <v>2968.9</v>
      </c>
      <c r="I13" s="48">
        <v>124</v>
      </c>
      <c r="J13" s="18"/>
    </row>
    <row r="14" spans="1:10" x14ac:dyDescent="0.2">
      <c r="B14" s="17"/>
      <c r="J14" s="18"/>
    </row>
    <row r="15" spans="1:10" x14ac:dyDescent="0.2">
      <c r="B15" s="17"/>
      <c r="C15" s="101" t="s">
        <v>427</v>
      </c>
      <c r="D15" s="102"/>
      <c r="E15" s="99">
        <v>2699</v>
      </c>
      <c r="F15" s="100"/>
      <c r="J15" s="18"/>
    </row>
    <row r="16" spans="1:10" x14ac:dyDescent="0.2">
      <c r="B16" s="17"/>
      <c r="C16" s="101" t="s">
        <v>428</v>
      </c>
      <c r="D16" s="102"/>
      <c r="E16" s="103">
        <v>25</v>
      </c>
      <c r="F16" s="104"/>
      <c r="J16" s="18"/>
    </row>
    <row r="17" spans="2:10" ht="29" customHeight="1" x14ac:dyDescent="0.2">
      <c r="B17" s="17"/>
      <c r="C17" s="101" t="s">
        <v>429</v>
      </c>
      <c r="D17" s="102"/>
      <c r="E17" s="103">
        <v>25</v>
      </c>
      <c r="F17" s="104"/>
      <c r="J17" s="18"/>
    </row>
    <row r="18" spans="2:10" x14ac:dyDescent="0.2">
      <c r="B18" s="17"/>
      <c r="J18" s="18"/>
    </row>
    <row r="19" spans="2:10" x14ac:dyDescent="0.2">
      <c r="B19" s="27"/>
      <c r="J19" s="18"/>
    </row>
    <row r="20" spans="2:10" ht="16" x14ac:dyDescent="0.2">
      <c r="B20" s="17"/>
      <c r="C20" s="38" t="s">
        <v>430</v>
      </c>
      <c r="D20" s="39"/>
      <c r="E20" s="22"/>
      <c r="F20" s="28"/>
      <c r="G20" s="42">
        <v>0</v>
      </c>
      <c r="H20" s="40" t="s">
        <v>419</v>
      </c>
      <c r="I20" s="47">
        <v>0</v>
      </c>
      <c r="J20" s="18"/>
    </row>
    <row r="21" spans="2:10" ht="16" x14ac:dyDescent="0.2">
      <c r="B21" s="17"/>
      <c r="C21" s="29" t="s">
        <v>423</v>
      </c>
      <c r="D21" s="79"/>
      <c r="E21" s="22"/>
      <c r="F21" s="31"/>
      <c r="G21" s="32"/>
      <c r="H21" s="28" t="s">
        <v>421</v>
      </c>
      <c r="I21" s="44"/>
      <c r="J21" s="18"/>
    </row>
    <row r="22" spans="2:10" ht="16" x14ac:dyDescent="0.2">
      <c r="B22" s="17" t="s">
        <v>422</v>
      </c>
      <c r="C22" s="29" t="s">
        <v>420</v>
      </c>
      <c r="D22" s="30"/>
      <c r="E22" s="22"/>
      <c r="F22" s="22"/>
      <c r="G22" s="31"/>
      <c r="H22" s="28" t="s">
        <v>424</v>
      </c>
      <c r="I22" s="46"/>
      <c r="J22" s="18"/>
    </row>
    <row r="23" spans="2:10" ht="16" x14ac:dyDescent="0.2">
      <c r="B23" s="17"/>
      <c r="C23" s="29" t="s">
        <v>425</v>
      </c>
      <c r="D23" s="30"/>
      <c r="E23" s="22"/>
      <c r="F23" s="22"/>
      <c r="G23" s="32"/>
      <c r="H23" s="28" t="s">
        <v>426</v>
      </c>
      <c r="I23" s="49"/>
      <c r="J23" s="18"/>
    </row>
    <row r="24" spans="2:10" ht="16" thickBot="1" x14ac:dyDescent="0.25">
      <c r="B24" s="33"/>
      <c r="C24" s="34"/>
      <c r="D24" s="34"/>
      <c r="E24" s="34"/>
      <c r="F24" s="34"/>
      <c r="G24" s="35"/>
      <c r="H24" s="34"/>
      <c r="I24" s="34"/>
      <c r="J24" s="36"/>
    </row>
  </sheetData>
  <mergeCells count="15">
    <mergeCell ref="C12:D12"/>
    <mergeCell ref="E12:F12"/>
    <mergeCell ref="C7:D7"/>
    <mergeCell ref="G7:I8"/>
    <mergeCell ref="C8:D8"/>
    <mergeCell ref="C9:D9"/>
    <mergeCell ref="C10:D10"/>
    <mergeCell ref="E13:F13"/>
    <mergeCell ref="E15:F15"/>
    <mergeCell ref="C17:D17"/>
    <mergeCell ref="E16:F16"/>
    <mergeCell ref="C16:D16"/>
    <mergeCell ref="C15:D15"/>
    <mergeCell ref="E17:F17"/>
    <mergeCell ref="C13:D13"/>
  </mergeCells>
  <dataValidations count="1">
    <dataValidation type="list" allowBlank="1" showInputMessage="1" showErrorMessage="1" sqref="D21" xr:uid="{FE8D10C8-8421-441D-A891-57F8C1AEF13F}">
      <formula1>StaffIDList</formula1>
    </dataValidation>
  </dataValidations>
  <pageMargins left="0.7" right="0.7" top="0.75" bottom="0.75" header="0.3" footer="0.3"/>
  <pageSetup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nfirmPurchase">
                <anchor moveWithCells="1" sizeWithCells="1">
                  <from>
                    <xdr:col>11</xdr:col>
                    <xdr:colOff>76200</xdr:colOff>
                    <xdr:row>11</xdr:row>
                    <xdr:rowOff>241300</xdr:rowOff>
                  </from>
                  <to>
                    <xdr:col>13</xdr:col>
                    <xdr:colOff>520700</xdr:colOff>
                    <xdr:row>12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Receipt">
                <anchor moveWithCells="1" sizeWithCells="1">
                  <from>
                    <xdr:col>11</xdr:col>
                    <xdr:colOff>50800</xdr:colOff>
                    <xdr:row>13</xdr:row>
                    <xdr:rowOff>152400</xdr:rowOff>
                  </from>
                  <to>
                    <xdr:col>13</xdr:col>
                    <xdr:colOff>533400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7771CC-D1C7-43CC-818B-DF1C5957E7D2}">
          <x14:formula1>
            <xm:f>'Item List'!$C$2:$C$161</xm:f>
          </x14:formula1>
          <xm:sqref>C13:D13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zoomScale="70" zoomScaleNormal="70" workbookViewId="0">
      <pane ySplit="1" topLeftCell="A83" activePane="bottomLeft" state="frozen"/>
      <selection pane="bottomLeft" activeCell="B104" sqref="B104"/>
    </sheetView>
  </sheetViews>
  <sheetFormatPr baseColWidth="10" defaultColWidth="14.5" defaultRowHeight="15" customHeight="1" x14ac:dyDescent="0.2"/>
  <cols>
    <col min="1" max="1" width="11.1640625" style="13" customWidth="1"/>
    <col min="2" max="2" width="62" customWidth="1"/>
    <col min="3" max="3" width="21.5" customWidth="1"/>
    <col min="4" max="4" width="16.83203125" customWidth="1"/>
    <col min="5" max="5" width="14.5" style="54" customWidth="1"/>
    <col min="6" max="6" width="9.1640625" customWidth="1"/>
    <col min="7" max="7" width="8.83203125" customWidth="1"/>
    <col min="8" max="8" width="10.1640625" bestFit="1" customWidth="1"/>
    <col min="9" max="9" width="11.5" style="13" bestFit="1" customWidth="1"/>
    <col min="10" max="10" width="13.5" style="54" bestFit="1" customWidth="1"/>
    <col min="11" max="11" width="11.83203125" style="53" customWidth="1"/>
    <col min="12" max="12" width="14.6640625" style="68" bestFit="1" customWidth="1"/>
    <col min="13" max="13" width="10.5" style="53" customWidth="1"/>
    <col min="14" max="14" width="12.5" style="54" customWidth="1"/>
    <col min="15" max="26" width="8.83203125" customWidth="1"/>
  </cols>
  <sheetData>
    <row r="1" spans="1:14" x14ac:dyDescent="0.2">
      <c r="A1" s="66" t="s">
        <v>11</v>
      </c>
      <c r="B1" s="2" t="s">
        <v>12</v>
      </c>
      <c r="C1" s="2" t="s">
        <v>13</v>
      </c>
      <c r="D1" s="2" t="s">
        <v>14</v>
      </c>
      <c r="E1" s="63" t="s">
        <v>15</v>
      </c>
      <c r="F1" s="3" t="s">
        <v>16</v>
      </c>
      <c r="G1" s="3" t="s">
        <v>17</v>
      </c>
      <c r="H1" s="3" t="s">
        <v>18</v>
      </c>
      <c r="I1" s="64" t="s">
        <v>19</v>
      </c>
      <c r="J1" s="61" t="s">
        <v>20</v>
      </c>
      <c r="K1" s="59" t="s">
        <v>21</v>
      </c>
      <c r="L1" s="67" t="s">
        <v>22</v>
      </c>
      <c r="M1" s="59" t="s">
        <v>23</v>
      </c>
      <c r="N1" s="61" t="s">
        <v>24</v>
      </c>
    </row>
    <row r="2" spans="1:14" x14ac:dyDescent="0.2">
      <c r="A2" s="13">
        <v>44345</v>
      </c>
      <c r="B2" t="s">
        <v>27</v>
      </c>
      <c r="C2" s="1" t="s">
        <v>28</v>
      </c>
      <c r="D2" t="s">
        <v>443</v>
      </c>
      <c r="E2" s="54">
        <v>499</v>
      </c>
      <c r="F2">
        <v>42</v>
      </c>
      <c r="G2">
        <v>4</v>
      </c>
      <c r="H2" t="s">
        <v>444</v>
      </c>
      <c r="I2" s="13">
        <v>44361</v>
      </c>
      <c r="J2" s="54">
        <v>548.9</v>
      </c>
      <c r="K2" s="53">
        <v>0</v>
      </c>
      <c r="L2" s="68" t="s">
        <v>442</v>
      </c>
      <c r="M2" s="53">
        <v>9.999999999999995E-2</v>
      </c>
      <c r="N2" s="54">
        <v>219.55999999999989</v>
      </c>
    </row>
    <row r="3" spans="1:14" x14ac:dyDescent="0.2">
      <c r="A3" s="13">
        <v>44429</v>
      </c>
      <c r="B3" t="s">
        <v>37</v>
      </c>
      <c r="C3" t="s">
        <v>38</v>
      </c>
      <c r="D3" t="s">
        <v>446</v>
      </c>
      <c r="E3" s="54">
        <v>3199</v>
      </c>
      <c r="F3">
        <v>43</v>
      </c>
      <c r="G3">
        <v>1</v>
      </c>
      <c r="H3" t="s">
        <v>441</v>
      </c>
      <c r="I3" s="13">
        <v>44438</v>
      </c>
      <c r="J3" s="54">
        <v>3518.9</v>
      </c>
      <c r="K3" s="53">
        <v>0.02</v>
      </c>
      <c r="L3" s="70" t="s">
        <v>445</v>
      </c>
      <c r="M3" s="53">
        <v>8.0000000000000029E-2</v>
      </c>
      <c r="N3" s="54">
        <v>281.51200000000011</v>
      </c>
    </row>
    <row r="4" spans="1:14" x14ac:dyDescent="0.2">
      <c r="A4" s="13">
        <v>44409</v>
      </c>
      <c r="B4" t="s">
        <v>43</v>
      </c>
      <c r="C4" t="s">
        <v>44</v>
      </c>
      <c r="D4" t="s">
        <v>448</v>
      </c>
      <c r="E4" s="54">
        <v>3999</v>
      </c>
      <c r="F4">
        <v>10</v>
      </c>
      <c r="G4">
        <v>2</v>
      </c>
      <c r="H4" t="s">
        <v>449</v>
      </c>
      <c r="I4" s="13">
        <v>44440</v>
      </c>
      <c r="J4" s="54">
        <v>4398.8999999999996</v>
      </c>
      <c r="K4" s="53">
        <v>0</v>
      </c>
      <c r="L4" s="70" t="s">
        <v>447</v>
      </c>
      <c r="M4" s="53">
        <v>9.9999999999999908E-2</v>
      </c>
      <c r="N4" s="54">
        <v>879.77999999999918</v>
      </c>
    </row>
    <row r="5" spans="1:14" x14ac:dyDescent="0.2">
      <c r="A5" s="13">
        <v>44229</v>
      </c>
      <c r="B5" t="s">
        <v>53</v>
      </c>
      <c r="C5" t="s">
        <v>54</v>
      </c>
      <c r="D5" t="s">
        <v>451</v>
      </c>
      <c r="E5" s="54">
        <v>2299</v>
      </c>
      <c r="F5">
        <v>23</v>
      </c>
      <c r="G5">
        <v>2</v>
      </c>
      <c r="H5" t="s">
        <v>444</v>
      </c>
      <c r="I5" s="13">
        <v>44258</v>
      </c>
      <c r="J5" s="54">
        <v>2528.9</v>
      </c>
      <c r="K5" s="53">
        <v>0</v>
      </c>
      <c r="L5" s="70" t="s">
        <v>450</v>
      </c>
      <c r="M5" s="53">
        <v>0.10000000000000003</v>
      </c>
      <c r="N5" s="54">
        <v>505.7800000000002</v>
      </c>
    </row>
    <row r="6" spans="1:14" x14ac:dyDescent="0.2">
      <c r="A6" s="13">
        <v>44197</v>
      </c>
      <c r="B6" t="s">
        <v>25</v>
      </c>
      <c r="C6" t="s">
        <v>26</v>
      </c>
      <c r="D6" t="s">
        <v>453</v>
      </c>
      <c r="E6" s="54">
        <v>965</v>
      </c>
      <c r="F6">
        <v>32</v>
      </c>
      <c r="G6">
        <v>5</v>
      </c>
      <c r="H6" t="s">
        <v>454</v>
      </c>
      <c r="I6" s="13">
        <v>44211</v>
      </c>
      <c r="J6" s="54">
        <v>1061.5</v>
      </c>
      <c r="K6" s="53">
        <v>0</v>
      </c>
      <c r="L6" s="70" t="s">
        <v>452</v>
      </c>
      <c r="M6" s="53">
        <v>0.1</v>
      </c>
      <c r="N6" s="54">
        <v>530.75</v>
      </c>
    </row>
    <row r="7" spans="1:14" x14ac:dyDescent="0.2">
      <c r="A7" s="13">
        <v>44229</v>
      </c>
      <c r="B7" t="s">
        <v>53</v>
      </c>
      <c r="C7" t="s">
        <v>54</v>
      </c>
      <c r="D7" t="s">
        <v>456</v>
      </c>
      <c r="E7" s="54">
        <v>2299</v>
      </c>
      <c r="F7">
        <v>21</v>
      </c>
      <c r="G7">
        <v>2</v>
      </c>
      <c r="H7" t="s">
        <v>457</v>
      </c>
      <c r="I7" s="13">
        <v>44245</v>
      </c>
      <c r="J7" s="54">
        <v>2528.9</v>
      </c>
      <c r="K7" s="53">
        <v>0.02</v>
      </c>
      <c r="L7" s="70" t="s">
        <v>455</v>
      </c>
      <c r="M7" s="53">
        <v>8.0000000000000043E-2</v>
      </c>
      <c r="N7" s="54">
        <v>404.62400000000019</v>
      </c>
    </row>
    <row r="8" spans="1:14" x14ac:dyDescent="0.2">
      <c r="A8" s="13">
        <v>44283</v>
      </c>
      <c r="B8" t="s">
        <v>69</v>
      </c>
      <c r="C8" t="s">
        <v>70</v>
      </c>
      <c r="D8" t="s">
        <v>459</v>
      </c>
      <c r="E8" s="54">
        <v>2819</v>
      </c>
      <c r="F8">
        <v>12</v>
      </c>
      <c r="G8">
        <v>1</v>
      </c>
      <c r="H8" t="s">
        <v>460</v>
      </c>
      <c r="I8" s="13">
        <v>44295</v>
      </c>
      <c r="J8" s="54">
        <v>3100.9</v>
      </c>
      <c r="K8" s="53">
        <v>0</v>
      </c>
      <c r="L8" s="70" t="s">
        <v>458</v>
      </c>
      <c r="M8" s="53">
        <v>0.10000000000000003</v>
      </c>
      <c r="N8" s="54">
        <v>310.09000000000009</v>
      </c>
    </row>
    <row r="9" spans="1:14" x14ac:dyDescent="0.2">
      <c r="A9" s="13">
        <v>44527</v>
      </c>
      <c r="B9" t="s">
        <v>79</v>
      </c>
      <c r="C9" t="s">
        <v>80</v>
      </c>
      <c r="D9" t="s">
        <v>462</v>
      </c>
      <c r="E9" s="54">
        <v>610</v>
      </c>
      <c r="F9">
        <v>38</v>
      </c>
      <c r="G9">
        <v>3</v>
      </c>
      <c r="H9" t="s">
        <v>444</v>
      </c>
      <c r="I9" s="13">
        <v>44531</v>
      </c>
      <c r="J9" s="54">
        <v>671</v>
      </c>
      <c r="K9" s="53">
        <v>0</v>
      </c>
      <c r="L9" s="68" t="s">
        <v>461</v>
      </c>
      <c r="M9" s="53">
        <v>0.1</v>
      </c>
      <c r="N9" s="54">
        <v>201.3</v>
      </c>
    </row>
    <row r="10" spans="1:14" x14ac:dyDescent="0.2">
      <c r="A10" s="13">
        <v>44444</v>
      </c>
      <c r="B10" t="s">
        <v>101</v>
      </c>
      <c r="C10" t="s">
        <v>102</v>
      </c>
      <c r="D10" t="s">
        <v>464</v>
      </c>
      <c r="E10" s="54">
        <v>2899</v>
      </c>
      <c r="F10">
        <v>11</v>
      </c>
      <c r="G10">
        <v>1</v>
      </c>
      <c r="H10" t="s">
        <v>465</v>
      </c>
      <c r="I10" s="13">
        <v>44336</v>
      </c>
      <c r="J10" s="54">
        <v>3188.9</v>
      </c>
      <c r="K10" s="53">
        <v>0.03</v>
      </c>
      <c r="L10" s="68" t="s">
        <v>463</v>
      </c>
      <c r="M10" s="53">
        <v>7.0000000000000034E-2</v>
      </c>
      <c r="N10" s="54">
        <v>223.2230000000001</v>
      </c>
    </row>
    <row r="11" spans="1:14" x14ac:dyDescent="0.2">
      <c r="A11" s="56">
        <v>44379</v>
      </c>
      <c r="B11" t="s">
        <v>117</v>
      </c>
      <c r="C11" s="1" t="s">
        <v>118</v>
      </c>
      <c r="D11" s="1" t="s">
        <v>467</v>
      </c>
      <c r="E11" s="57">
        <v>4225</v>
      </c>
      <c r="F11" s="1">
        <v>45</v>
      </c>
      <c r="G11" s="1">
        <v>1</v>
      </c>
      <c r="H11" t="s">
        <v>468</v>
      </c>
      <c r="I11" s="13">
        <v>44400</v>
      </c>
      <c r="J11" s="54">
        <v>4647.5</v>
      </c>
      <c r="K11" s="53">
        <v>0</v>
      </c>
      <c r="L11" s="68" t="s">
        <v>466</v>
      </c>
      <c r="M11" s="53">
        <v>0.1</v>
      </c>
      <c r="N11" s="54">
        <v>464.75</v>
      </c>
    </row>
    <row r="12" spans="1:14" x14ac:dyDescent="0.2">
      <c r="A12" s="56">
        <v>44348</v>
      </c>
      <c r="B12" t="s">
        <v>223</v>
      </c>
      <c r="C12" s="1" t="s">
        <v>224</v>
      </c>
      <c r="D12" s="1" t="s">
        <v>470</v>
      </c>
      <c r="E12" s="57">
        <v>99</v>
      </c>
      <c r="F12" s="1">
        <v>10</v>
      </c>
      <c r="G12" s="1">
        <v>10</v>
      </c>
      <c r="H12" t="s">
        <v>471</v>
      </c>
      <c r="I12" s="13">
        <v>44483</v>
      </c>
      <c r="J12" s="54">
        <v>108.9</v>
      </c>
      <c r="K12" s="53">
        <v>0.02</v>
      </c>
      <c r="L12" s="68" t="s">
        <v>469</v>
      </c>
      <c r="M12" s="53">
        <v>8.0000000000000057E-2</v>
      </c>
      <c r="N12" s="54">
        <v>87.120000000000061</v>
      </c>
    </row>
    <row r="13" spans="1:14" x14ac:dyDescent="0.2">
      <c r="A13" s="56">
        <v>44235</v>
      </c>
      <c r="B13" s="1" t="s">
        <v>241</v>
      </c>
      <c r="C13" s="1" t="s">
        <v>242</v>
      </c>
      <c r="D13" s="1" t="s">
        <v>473</v>
      </c>
      <c r="E13" s="57">
        <v>109</v>
      </c>
      <c r="F13" s="1">
        <v>30</v>
      </c>
      <c r="G13" s="1">
        <v>9</v>
      </c>
      <c r="H13" t="s">
        <v>441</v>
      </c>
      <c r="I13" s="13">
        <v>44272</v>
      </c>
      <c r="J13" s="54">
        <v>119.9</v>
      </c>
      <c r="K13" s="53">
        <v>0.02</v>
      </c>
      <c r="L13" s="68" t="s">
        <v>472</v>
      </c>
      <c r="M13" s="53">
        <v>8.0000000000000057E-2</v>
      </c>
      <c r="N13" s="54">
        <v>86.32800000000006</v>
      </c>
    </row>
    <row r="14" spans="1:14" x14ac:dyDescent="0.2">
      <c r="A14" s="56">
        <v>44518</v>
      </c>
      <c r="B14" s="1" t="s">
        <v>261</v>
      </c>
      <c r="C14" s="1" t="s">
        <v>262</v>
      </c>
      <c r="D14" s="1" t="s">
        <v>475</v>
      </c>
      <c r="E14" s="57">
        <v>1809</v>
      </c>
      <c r="F14" s="1">
        <v>13</v>
      </c>
      <c r="G14" s="1">
        <v>3</v>
      </c>
      <c r="H14" t="s">
        <v>476</v>
      </c>
      <c r="I14" s="13">
        <v>44526</v>
      </c>
      <c r="J14" s="54">
        <v>1989.9</v>
      </c>
      <c r="K14" s="53">
        <v>0</v>
      </c>
      <c r="L14" s="68" t="s">
        <v>474</v>
      </c>
      <c r="M14" s="53">
        <v>0.10000000000000005</v>
      </c>
      <c r="N14" s="54">
        <v>596.97000000000037</v>
      </c>
    </row>
    <row r="15" spans="1:14" x14ac:dyDescent="0.2">
      <c r="A15" s="56">
        <v>44538</v>
      </c>
      <c r="B15" s="1" t="s">
        <v>279</v>
      </c>
      <c r="C15" s="1" t="s">
        <v>280</v>
      </c>
      <c r="D15" s="1" t="s">
        <v>478</v>
      </c>
      <c r="E15" s="57">
        <v>799</v>
      </c>
      <c r="F15" s="1">
        <v>39</v>
      </c>
      <c r="G15" s="1">
        <v>4</v>
      </c>
      <c r="H15" t="s">
        <v>479</v>
      </c>
      <c r="I15" s="13">
        <v>44551</v>
      </c>
      <c r="J15" s="54">
        <v>878.9</v>
      </c>
      <c r="K15" s="53">
        <v>0</v>
      </c>
      <c r="L15" s="68" t="s">
        <v>477</v>
      </c>
      <c r="M15" s="53">
        <v>9.9999999999999978E-2</v>
      </c>
      <c r="N15" s="54">
        <v>351.55999999999989</v>
      </c>
    </row>
    <row r="16" spans="1:14" x14ac:dyDescent="0.2">
      <c r="A16" s="56">
        <v>44206</v>
      </c>
      <c r="B16" s="1" t="s">
        <v>297</v>
      </c>
      <c r="C16" s="1" t="s">
        <v>298</v>
      </c>
      <c r="D16" s="1" t="s">
        <v>481</v>
      </c>
      <c r="E16" s="57">
        <v>1315</v>
      </c>
      <c r="F16" s="1">
        <v>33</v>
      </c>
      <c r="G16" s="1">
        <v>2</v>
      </c>
      <c r="H16" t="s">
        <v>482</v>
      </c>
      <c r="I16" s="13">
        <v>44218</v>
      </c>
      <c r="J16" s="54">
        <v>1446.5</v>
      </c>
      <c r="K16" s="53">
        <v>0</v>
      </c>
      <c r="L16" s="68" t="s">
        <v>480</v>
      </c>
      <c r="M16" s="53">
        <v>0.1</v>
      </c>
      <c r="N16" s="54">
        <v>289.3</v>
      </c>
    </row>
    <row r="17" spans="1:26" x14ac:dyDescent="0.2">
      <c r="A17" s="56">
        <v>44289</v>
      </c>
      <c r="B17" s="1" t="s">
        <v>311</v>
      </c>
      <c r="C17" s="1" t="s">
        <v>312</v>
      </c>
      <c r="D17" s="1" t="s">
        <v>484</v>
      </c>
      <c r="E17" s="57">
        <v>1199</v>
      </c>
      <c r="F17" s="1">
        <v>25</v>
      </c>
      <c r="G17" s="1">
        <v>2</v>
      </c>
      <c r="H17" t="s">
        <v>485</v>
      </c>
      <c r="I17" s="13">
        <v>44309</v>
      </c>
      <c r="J17" s="54">
        <v>1318.9</v>
      </c>
      <c r="K17" s="53">
        <v>0.02</v>
      </c>
      <c r="L17" s="68" t="s">
        <v>483</v>
      </c>
      <c r="M17" s="53">
        <v>8.0000000000000071E-2</v>
      </c>
      <c r="N17" s="54">
        <v>211.0240000000002</v>
      </c>
    </row>
    <row r="18" spans="1:26" x14ac:dyDescent="0.2">
      <c r="A18" s="56">
        <v>44444</v>
      </c>
      <c r="B18" s="1" t="s">
        <v>319</v>
      </c>
      <c r="C18" s="1" t="s">
        <v>320</v>
      </c>
      <c r="D18" s="1" t="s">
        <v>487</v>
      </c>
      <c r="E18" s="57">
        <v>599</v>
      </c>
      <c r="F18" s="1">
        <v>4</v>
      </c>
      <c r="G18" s="1">
        <v>2</v>
      </c>
      <c r="H18" t="s">
        <v>488</v>
      </c>
      <c r="I18" s="13">
        <v>44481</v>
      </c>
      <c r="J18" s="54">
        <v>658.9</v>
      </c>
      <c r="K18" s="53">
        <v>0.02</v>
      </c>
      <c r="L18" s="68" t="s">
        <v>486</v>
      </c>
      <c r="M18" s="53">
        <v>7.999999999999996E-2</v>
      </c>
      <c r="N18" s="54">
        <v>105.42399999999995</v>
      </c>
    </row>
    <row r="19" spans="1:26" x14ac:dyDescent="0.2">
      <c r="A19" s="56">
        <v>44306</v>
      </c>
      <c r="B19" s="1" t="s">
        <v>329</v>
      </c>
      <c r="C19" s="1" t="s">
        <v>330</v>
      </c>
      <c r="D19" s="1" t="s">
        <v>490</v>
      </c>
      <c r="E19" s="57">
        <v>1510</v>
      </c>
      <c r="F19" s="1">
        <v>29</v>
      </c>
      <c r="G19" s="1">
        <v>2</v>
      </c>
      <c r="H19" t="s">
        <v>439</v>
      </c>
      <c r="I19" s="13">
        <v>44321</v>
      </c>
      <c r="J19" s="54">
        <v>1661</v>
      </c>
      <c r="K19" s="53">
        <v>0</v>
      </c>
      <c r="L19" s="68" t="s">
        <v>489</v>
      </c>
      <c r="M19" s="53">
        <v>0.1</v>
      </c>
      <c r="N19" s="54">
        <v>332.2</v>
      </c>
    </row>
    <row r="20" spans="1:26" x14ac:dyDescent="0.2">
      <c r="A20" s="56">
        <v>44262</v>
      </c>
      <c r="B20" s="1" t="s">
        <v>31</v>
      </c>
      <c r="C20" s="1" t="s">
        <v>32</v>
      </c>
      <c r="D20" s="1" t="s">
        <v>492</v>
      </c>
      <c r="E20" s="58">
        <v>2699</v>
      </c>
      <c r="F20" s="1">
        <v>25</v>
      </c>
      <c r="G20" s="1">
        <v>2</v>
      </c>
      <c r="H20" t="s">
        <v>471</v>
      </c>
      <c r="I20" s="13">
        <v>44286</v>
      </c>
      <c r="J20" s="54">
        <v>2968.9</v>
      </c>
      <c r="K20" s="53">
        <v>0.02</v>
      </c>
      <c r="L20" s="68" t="s">
        <v>491</v>
      </c>
      <c r="M20" s="53">
        <v>8.0000000000000029E-2</v>
      </c>
      <c r="N20" s="54">
        <v>475.02400000000023</v>
      </c>
    </row>
    <row r="21" spans="1:26" x14ac:dyDescent="0.2">
      <c r="A21" s="56">
        <v>44299</v>
      </c>
      <c r="B21" s="1" t="s">
        <v>39</v>
      </c>
      <c r="C21" s="1" t="s">
        <v>40</v>
      </c>
      <c r="D21" s="1" t="s">
        <v>494</v>
      </c>
      <c r="E21" s="58">
        <v>7999</v>
      </c>
      <c r="F21" s="1">
        <v>9</v>
      </c>
      <c r="G21" s="1">
        <v>1</v>
      </c>
      <c r="H21" t="s">
        <v>495</v>
      </c>
      <c r="I21" s="13">
        <v>44369</v>
      </c>
      <c r="J21" s="54">
        <v>8798.9</v>
      </c>
      <c r="K21" s="53">
        <v>0</v>
      </c>
      <c r="L21" s="68" t="s">
        <v>493</v>
      </c>
      <c r="M21" s="53">
        <v>9.999999999999995E-2</v>
      </c>
      <c r="N21" s="54">
        <v>879.88999999999953</v>
      </c>
    </row>
    <row r="22" spans="1:26" ht="15.75" customHeight="1" x14ac:dyDescent="0.2">
      <c r="A22" s="56">
        <v>44243</v>
      </c>
      <c r="B22" s="1" t="s">
        <v>51</v>
      </c>
      <c r="C22" s="1" t="s">
        <v>52</v>
      </c>
      <c r="D22" s="1" t="s">
        <v>497</v>
      </c>
      <c r="E22" s="58">
        <v>909</v>
      </c>
      <c r="F22" s="1">
        <v>23</v>
      </c>
      <c r="G22" s="1">
        <v>3</v>
      </c>
      <c r="H22" t="s">
        <v>440</v>
      </c>
      <c r="I22" s="13">
        <v>44253</v>
      </c>
      <c r="J22" s="54">
        <v>999.9</v>
      </c>
      <c r="K22" s="53">
        <v>0.03</v>
      </c>
      <c r="L22" s="68" t="s">
        <v>496</v>
      </c>
      <c r="M22" s="53">
        <v>6.9999999999999979E-2</v>
      </c>
      <c r="N22" s="54">
        <v>209.97899999999993</v>
      </c>
    </row>
    <row r="23" spans="1:26" ht="15.75" customHeight="1" x14ac:dyDescent="0.2">
      <c r="A23" s="56">
        <v>44559</v>
      </c>
      <c r="B23" s="1" t="s">
        <v>63</v>
      </c>
      <c r="C23" s="1" t="s">
        <v>64</v>
      </c>
      <c r="D23" s="1" t="s">
        <v>499</v>
      </c>
      <c r="E23" s="58">
        <v>7999</v>
      </c>
      <c r="F23" s="1">
        <v>10</v>
      </c>
      <c r="G23" s="1">
        <v>1</v>
      </c>
      <c r="H23" t="s">
        <v>500</v>
      </c>
      <c r="I23" s="13">
        <v>44561</v>
      </c>
      <c r="J23" s="54">
        <v>8798.9</v>
      </c>
      <c r="K23" s="53">
        <v>0</v>
      </c>
      <c r="L23" s="68" t="s">
        <v>498</v>
      </c>
      <c r="M23" s="53">
        <v>9.999999999999995E-2</v>
      </c>
      <c r="N23" s="54">
        <v>879.88999999999953</v>
      </c>
    </row>
    <row r="24" spans="1:26" ht="15.75" customHeight="1" x14ac:dyDescent="0.2">
      <c r="A24" s="56">
        <v>44506</v>
      </c>
      <c r="B24" s="1" t="s">
        <v>71</v>
      </c>
      <c r="C24" s="1" t="s">
        <v>72</v>
      </c>
      <c r="D24" s="1" t="s">
        <v>502</v>
      </c>
      <c r="E24" s="58">
        <v>12500</v>
      </c>
      <c r="F24" s="1">
        <v>42</v>
      </c>
      <c r="G24" s="1">
        <v>1</v>
      </c>
      <c r="H24" t="s">
        <v>503</v>
      </c>
      <c r="I24" s="13">
        <v>44524</v>
      </c>
      <c r="J24" s="54">
        <v>13750</v>
      </c>
      <c r="K24" s="53">
        <v>0</v>
      </c>
      <c r="L24" s="68" t="s">
        <v>501</v>
      </c>
      <c r="M24" s="53">
        <v>0.1</v>
      </c>
      <c r="N24" s="54">
        <v>1375</v>
      </c>
    </row>
    <row r="25" spans="1:26" ht="15.75" customHeight="1" x14ac:dyDescent="0.2">
      <c r="A25" s="56">
        <v>44527</v>
      </c>
      <c r="B25" s="1" t="s">
        <v>79</v>
      </c>
      <c r="C25" s="1" t="s">
        <v>80</v>
      </c>
      <c r="D25" s="1" t="s">
        <v>505</v>
      </c>
      <c r="E25" s="58">
        <v>610</v>
      </c>
      <c r="F25" s="1">
        <v>33</v>
      </c>
      <c r="G25" s="1">
        <v>5</v>
      </c>
      <c r="H25" t="s">
        <v>449</v>
      </c>
      <c r="I25" s="13">
        <v>44552</v>
      </c>
      <c r="J25" s="54">
        <v>671</v>
      </c>
      <c r="K25" s="53">
        <v>0</v>
      </c>
      <c r="L25" s="68" t="s">
        <v>504</v>
      </c>
      <c r="M25" s="53">
        <v>0.1</v>
      </c>
      <c r="N25" s="54">
        <v>335.5</v>
      </c>
    </row>
    <row r="26" spans="1:26" ht="15.75" customHeight="1" x14ac:dyDescent="0.2">
      <c r="A26" s="56">
        <v>44298</v>
      </c>
      <c r="B26" s="1" t="s">
        <v>81</v>
      </c>
      <c r="C26" s="1" t="s">
        <v>82</v>
      </c>
      <c r="D26" s="1" t="s">
        <v>507</v>
      </c>
      <c r="E26" s="58">
        <v>2255</v>
      </c>
      <c r="F26" s="1">
        <v>31</v>
      </c>
      <c r="G26" s="1">
        <v>2</v>
      </c>
      <c r="H26" t="s">
        <v>482</v>
      </c>
      <c r="I26" s="13">
        <v>44344</v>
      </c>
      <c r="J26" s="54">
        <v>2480.5</v>
      </c>
      <c r="K26" s="53">
        <v>0</v>
      </c>
      <c r="L26" s="68" t="s">
        <v>506</v>
      </c>
      <c r="M26" s="53">
        <v>0.1</v>
      </c>
      <c r="N26" s="54">
        <v>496.1</v>
      </c>
    </row>
    <row r="27" spans="1:26" ht="15.75" customHeight="1" x14ac:dyDescent="0.2">
      <c r="A27" s="56">
        <v>44271</v>
      </c>
      <c r="B27" s="1" t="s">
        <v>99</v>
      </c>
      <c r="C27" s="1" t="s">
        <v>100</v>
      </c>
      <c r="D27" s="1" t="s">
        <v>509</v>
      </c>
      <c r="E27" s="58">
        <v>2999</v>
      </c>
      <c r="F27" s="1">
        <v>14</v>
      </c>
      <c r="G27" s="1">
        <v>1</v>
      </c>
      <c r="H27" s="5" t="s">
        <v>510</v>
      </c>
      <c r="I27" s="65">
        <v>44290</v>
      </c>
      <c r="J27" s="62">
        <v>3298.9</v>
      </c>
      <c r="K27" s="60">
        <v>0</v>
      </c>
      <c r="L27" s="69" t="s">
        <v>508</v>
      </c>
      <c r="M27" s="60">
        <v>0.10000000000000003</v>
      </c>
      <c r="N27" s="62">
        <v>329.8900000000001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 x14ac:dyDescent="0.2">
      <c r="A28" s="56">
        <v>44305</v>
      </c>
      <c r="B28" s="1" t="s">
        <v>115</v>
      </c>
      <c r="C28" s="1" t="s">
        <v>116</v>
      </c>
      <c r="D28" s="1" t="s">
        <v>512</v>
      </c>
      <c r="E28" s="58">
        <v>4139</v>
      </c>
      <c r="F28" s="1">
        <v>45</v>
      </c>
      <c r="G28" s="1">
        <v>1</v>
      </c>
      <c r="H28" t="s">
        <v>513</v>
      </c>
      <c r="I28" s="13">
        <v>44334</v>
      </c>
      <c r="J28" s="54">
        <v>4552.8999999999996</v>
      </c>
      <c r="K28" s="53">
        <v>0.02</v>
      </c>
      <c r="L28" s="68" t="s">
        <v>511</v>
      </c>
      <c r="M28" s="53">
        <v>7.9999999999999918E-2</v>
      </c>
      <c r="N28" s="54">
        <v>364.23199999999957</v>
      </c>
    </row>
    <row r="29" spans="1:26" ht="15.75" customHeight="1" x14ac:dyDescent="0.2">
      <c r="A29" s="56">
        <v>44362</v>
      </c>
      <c r="B29" s="1" t="s">
        <v>127</v>
      </c>
      <c r="C29" s="1" t="s">
        <v>128</v>
      </c>
      <c r="D29" s="1" t="s">
        <v>515</v>
      </c>
      <c r="E29" s="58">
        <v>3699</v>
      </c>
      <c r="F29" s="1">
        <v>48</v>
      </c>
      <c r="G29" s="1">
        <v>2</v>
      </c>
      <c r="H29" t="s">
        <v>516</v>
      </c>
      <c r="I29" s="13">
        <v>44371</v>
      </c>
      <c r="J29" s="54">
        <v>4068.9</v>
      </c>
      <c r="K29" s="53">
        <v>0</v>
      </c>
      <c r="L29" s="68" t="s">
        <v>514</v>
      </c>
      <c r="M29" s="53">
        <v>0.10000000000000002</v>
      </c>
      <c r="N29" s="54">
        <v>813.7800000000002</v>
      </c>
    </row>
    <row r="30" spans="1:26" ht="15.75" customHeight="1" x14ac:dyDescent="0.2">
      <c r="A30" s="56">
        <v>44317</v>
      </c>
      <c r="B30" s="1" t="s">
        <v>145</v>
      </c>
      <c r="C30" s="1" t="s">
        <v>146</v>
      </c>
      <c r="D30" s="1" t="s">
        <v>518</v>
      </c>
      <c r="E30" s="58">
        <v>1089</v>
      </c>
      <c r="F30" s="1">
        <v>25</v>
      </c>
      <c r="G30" s="1">
        <v>3</v>
      </c>
      <c r="H30" t="s">
        <v>465</v>
      </c>
      <c r="I30" s="13">
        <v>44392</v>
      </c>
      <c r="J30" s="54">
        <v>1197.9000000000001</v>
      </c>
      <c r="K30" s="53">
        <v>0.03</v>
      </c>
      <c r="L30" s="68" t="s">
        <v>517</v>
      </c>
      <c r="M30" s="53">
        <v>7.000000000000009E-2</v>
      </c>
      <c r="N30" s="54">
        <v>251.55900000000031</v>
      </c>
    </row>
    <row r="31" spans="1:26" ht="15.75" customHeight="1" x14ac:dyDescent="0.2">
      <c r="A31" s="56">
        <v>44514</v>
      </c>
      <c r="B31" s="1" t="s">
        <v>155</v>
      </c>
      <c r="C31" s="1" t="s">
        <v>156</v>
      </c>
      <c r="D31" s="1" t="s">
        <v>520</v>
      </c>
      <c r="E31" s="58">
        <v>3499</v>
      </c>
      <c r="F31" s="1">
        <v>20</v>
      </c>
      <c r="G31" s="1">
        <v>1</v>
      </c>
      <c r="H31" t="s">
        <v>468</v>
      </c>
      <c r="I31" s="13">
        <v>44525</v>
      </c>
      <c r="J31" s="54">
        <v>3848.9</v>
      </c>
      <c r="K31" s="53">
        <v>0</v>
      </c>
      <c r="L31" s="68" t="s">
        <v>519</v>
      </c>
      <c r="M31" s="53">
        <v>0.10000000000000002</v>
      </c>
      <c r="N31" s="54">
        <v>384.8900000000001</v>
      </c>
    </row>
    <row r="32" spans="1:26" ht="15.75" customHeight="1" x14ac:dyDescent="0.2">
      <c r="A32" s="56">
        <v>44255</v>
      </c>
      <c r="B32" s="1" t="s">
        <v>289</v>
      </c>
      <c r="C32" s="1" t="s">
        <v>290</v>
      </c>
      <c r="D32" s="1" t="s">
        <v>522</v>
      </c>
      <c r="E32" s="58">
        <v>259</v>
      </c>
      <c r="F32" s="1">
        <v>33</v>
      </c>
      <c r="G32" s="1">
        <v>7</v>
      </c>
      <c r="H32" t="s">
        <v>523</v>
      </c>
      <c r="I32" s="13">
        <v>44280</v>
      </c>
      <c r="J32" s="54">
        <v>284.89999999999998</v>
      </c>
      <c r="K32" s="53">
        <v>0.02</v>
      </c>
      <c r="L32" s="68" t="s">
        <v>521</v>
      </c>
      <c r="M32" s="53">
        <v>7.9999999999999918E-2</v>
      </c>
      <c r="N32" s="54">
        <v>159.54399999999981</v>
      </c>
    </row>
    <row r="33" spans="1:14" ht="15.75" customHeight="1" x14ac:dyDescent="0.2">
      <c r="A33" s="56">
        <v>44526</v>
      </c>
      <c r="B33" s="1" t="s">
        <v>331</v>
      </c>
      <c r="C33" s="1" t="s">
        <v>332</v>
      </c>
      <c r="D33" s="1" t="s">
        <v>525</v>
      </c>
      <c r="E33" s="58">
        <v>469</v>
      </c>
      <c r="F33" s="1">
        <v>2</v>
      </c>
      <c r="G33" s="1">
        <v>1</v>
      </c>
      <c r="H33" t="s">
        <v>516</v>
      </c>
      <c r="I33" s="13">
        <v>44558</v>
      </c>
      <c r="J33" s="54">
        <v>515.9</v>
      </c>
      <c r="K33" s="53">
        <v>0</v>
      </c>
      <c r="L33" s="68" t="s">
        <v>524</v>
      </c>
      <c r="M33" s="53">
        <v>9.999999999999995E-2</v>
      </c>
      <c r="N33" s="54">
        <v>51.589999999999975</v>
      </c>
    </row>
    <row r="34" spans="1:14" ht="15.75" customHeight="1" x14ac:dyDescent="0.2">
      <c r="A34" s="56">
        <v>44306</v>
      </c>
      <c r="B34" s="1" t="s">
        <v>329</v>
      </c>
      <c r="C34" s="1" t="s">
        <v>330</v>
      </c>
      <c r="D34" s="1" t="s">
        <v>527</v>
      </c>
      <c r="E34" s="58">
        <v>1510</v>
      </c>
      <c r="F34" s="1">
        <v>27</v>
      </c>
      <c r="G34" s="1">
        <v>2</v>
      </c>
      <c r="H34" t="s">
        <v>528</v>
      </c>
      <c r="I34" s="13">
        <v>44427</v>
      </c>
      <c r="J34" s="54">
        <v>1661</v>
      </c>
      <c r="K34" s="53">
        <v>0.02</v>
      </c>
      <c r="L34" s="68" t="s">
        <v>526</v>
      </c>
      <c r="M34" s="53">
        <v>0.08</v>
      </c>
      <c r="N34" s="54">
        <v>265.76</v>
      </c>
    </row>
    <row r="35" spans="1:14" ht="15.75" customHeight="1" x14ac:dyDescent="0.2">
      <c r="A35" s="56">
        <v>44389</v>
      </c>
      <c r="B35" s="1" t="s">
        <v>299</v>
      </c>
      <c r="C35" s="1" t="s">
        <v>300</v>
      </c>
      <c r="D35" s="1" t="s">
        <v>530</v>
      </c>
      <c r="E35" s="58">
        <v>389</v>
      </c>
      <c r="F35" s="1">
        <v>16</v>
      </c>
      <c r="G35" s="1">
        <v>5</v>
      </c>
      <c r="H35" t="s">
        <v>531</v>
      </c>
      <c r="I35" s="13">
        <v>44406</v>
      </c>
      <c r="J35" s="54">
        <v>427.9</v>
      </c>
      <c r="K35" s="53">
        <v>0</v>
      </c>
      <c r="L35" s="68" t="s">
        <v>529</v>
      </c>
      <c r="M35" s="53">
        <v>9.9999999999999936E-2</v>
      </c>
      <c r="N35" s="54">
        <v>213.94999999999987</v>
      </c>
    </row>
    <row r="36" spans="1:14" ht="15.75" customHeight="1" x14ac:dyDescent="0.2">
      <c r="A36" s="56">
        <v>44206</v>
      </c>
      <c r="B36" s="1" t="s">
        <v>297</v>
      </c>
      <c r="C36" s="1" t="s">
        <v>298</v>
      </c>
      <c r="D36" s="1" t="s">
        <v>533</v>
      </c>
      <c r="E36" s="58">
        <v>1315</v>
      </c>
      <c r="F36" s="1">
        <v>31</v>
      </c>
      <c r="G36" s="1">
        <v>2</v>
      </c>
      <c r="H36" t="s">
        <v>444</v>
      </c>
      <c r="I36" s="13">
        <v>44215</v>
      </c>
      <c r="J36" s="54">
        <v>1446.5</v>
      </c>
      <c r="K36" s="53">
        <v>0</v>
      </c>
      <c r="L36" s="68" t="s">
        <v>532</v>
      </c>
      <c r="M36" s="53">
        <v>0.1</v>
      </c>
      <c r="N36" s="54">
        <v>289.3</v>
      </c>
    </row>
    <row r="37" spans="1:14" ht="15.75" customHeight="1" x14ac:dyDescent="0.2">
      <c r="A37" s="56">
        <v>44456</v>
      </c>
      <c r="B37" s="1" t="s">
        <v>307</v>
      </c>
      <c r="C37" s="1" t="s">
        <v>308</v>
      </c>
      <c r="D37" s="1" t="s">
        <v>535</v>
      </c>
      <c r="E37" s="58">
        <v>349</v>
      </c>
      <c r="F37" s="1">
        <v>5</v>
      </c>
      <c r="G37" s="1">
        <v>2</v>
      </c>
      <c r="H37" t="s">
        <v>536</v>
      </c>
      <c r="I37" s="13">
        <v>44462</v>
      </c>
      <c r="J37" s="54">
        <v>383.9</v>
      </c>
      <c r="K37" s="53">
        <v>0</v>
      </c>
      <c r="L37" s="68" t="s">
        <v>534</v>
      </c>
      <c r="M37" s="53">
        <v>9.9999999999999936E-2</v>
      </c>
      <c r="N37" s="54">
        <v>76.779999999999944</v>
      </c>
    </row>
    <row r="38" spans="1:14" ht="15.75" customHeight="1" x14ac:dyDescent="0.2">
      <c r="A38" s="56">
        <v>44369</v>
      </c>
      <c r="B38" s="1" t="s">
        <v>259</v>
      </c>
      <c r="C38" s="1" t="s">
        <v>260</v>
      </c>
      <c r="D38" s="1" t="s">
        <v>538</v>
      </c>
      <c r="E38" s="58">
        <v>479</v>
      </c>
      <c r="F38" s="1">
        <v>35</v>
      </c>
      <c r="G38" s="1">
        <v>3</v>
      </c>
      <c r="H38" t="s">
        <v>539</v>
      </c>
      <c r="I38" s="13">
        <v>44419</v>
      </c>
      <c r="J38" s="54">
        <v>526.9</v>
      </c>
      <c r="K38" s="53">
        <v>0</v>
      </c>
      <c r="L38" s="68" t="s">
        <v>537</v>
      </c>
      <c r="M38" s="53">
        <v>9.999999999999995E-2</v>
      </c>
      <c r="N38" s="54">
        <v>158.06999999999991</v>
      </c>
    </row>
    <row r="39" spans="1:14" ht="15.75" customHeight="1" x14ac:dyDescent="0.2">
      <c r="A39" s="56">
        <v>44377</v>
      </c>
      <c r="B39" s="1" t="s">
        <v>287</v>
      </c>
      <c r="C39" s="1" t="s">
        <v>288</v>
      </c>
      <c r="D39" s="1" t="s">
        <v>541</v>
      </c>
      <c r="E39" s="58">
        <v>359</v>
      </c>
      <c r="F39" s="1">
        <v>29</v>
      </c>
      <c r="G39" s="1">
        <v>8</v>
      </c>
      <c r="H39" t="s">
        <v>471</v>
      </c>
      <c r="I39" s="13">
        <v>44460</v>
      </c>
      <c r="J39" s="54">
        <v>394.9</v>
      </c>
      <c r="K39" s="53">
        <v>0.02</v>
      </c>
      <c r="L39" s="68" t="s">
        <v>540</v>
      </c>
      <c r="M39" s="53">
        <v>7.9999999999999932E-2</v>
      </c>
      <c r="N39" s="54">
        <v>252.73599999999979</v>
      </c>
    </row>
    <row r="40" spans="1:14" ht="15.75" customHeight="1" x14ac:dyDescent="0.2">
      <c r="A40" s="56">
        <v>44349</v>
      </c>
      <c r="B40" s="1" t="s">
        <v>253</v>
      </c>
      <c r="C40" s="1" t="s">
        <v>254</v>
      </c>
      <c r="D40" s="1" t="s">
        <v>543</v>
      </c>
      <c r="E40" s="58">
        <v>609</v>
      </c>
      <c r="F40" s="1">
        <v>17</v>
      </c>
      <c r="G40" s="1">
        <v>3</v>
      </c>
      <c r="H40" t="s">
        <v>544</v>
      </c>
      <c r="I40" s="13">
        <v>44413</v>
      </c>
      <c r="J40" s="54">
        <v>669.9</v>
      </c>
      <c r="K40" s="53">
        <v>0</v>
      </c>
      <c r="L40" s="68" t="s">
        <v>542</v>
      </c>
      <c r="M40" s="53">
        <v>9.9999999999999964E-2</v>
      </c>
      <c r="N40" s="54">
        <v>200.96999999999991</v>
      </c>
    </row>
    <row r="41" spans="1:14" ht="15.75" customHeight="1" x14ac:dyDescent="0.2">
      <c r="A41" s="56">
        <v>44255</v>
      </c>
      <c r="B41" s="1" t="s">
        <v>281</v>
      </c>
      <c r="C41" s="1" t="s">
        <v>282</v>
      </c>
      <c r="D41" s="1" t="s">
        <v>546</v>
      </c>
      <c r="E41" s="58">
        <v>862</v>
      </c>
      <c r="F41" s="1">
        <v>43</v>
      </c>
      <c r="G41" s="1">
        <v>2</v>
      </c>
      <c r="H41" t="s">
        <v>547</v>
      </c>
      <c r="I41" s="13">
        <v>44284</v>
      </c>
      <c r="J41" s="54">
        <v>948.2</v>
      </c>
      <c r="K41" s="53">
        <v>0</v>
      </c>
      <c r="L41" s="68" t="s">
        <v>545</v>
      </c>
      <c r="M41" s="53">
        <v>0.10000000000000005</v>
      </c>
      <c r="N41" s="54">
        <v>189.6400000000001</v>
      </c>
    </row>
    <row r="42" spans="1:14" ht="15.75" customHeight="1" x14ac:dyDescent="0.2">
      <c r="A42" s="56">
        <v>44206</v>
      </c>
      <c r="B42" s="1" t="s">
        <v>297</v>
      </c>
      <c r="C42" s="1" t="s">
        <v>298</v>
      </c>
      <c r="D42" s="1" t="s">
        <v>549</v>
      </c>
      <c r="E42" s="58">
        <v>1315</v>
      </c>
      <c r="F42" s="1">
        <v>30</v>
      </c>
      <c r="G42" s="1">
        <v>1</v>
      </c>
      <c r="H42" t="s">
        <v>550</v>
      </c>
      <c r="I42" s="13">
        <v>44222</v>
      </c>
      <c r="J42" s="54">
        <v>1446.5</v>
      </c>
      <c r="K42" s="53">
        <v>0</v>
      </c>
      <c r="L42" s="68" t="s">
        <v>548</v>
      </c>
      <c r="M42" s="53">
        <v>0.1</v>
      </c>
      <c r="N42" s="54">
        <v>144.65</v>
      </c>
    </row>
    <row r="43" spans="1:14" ht="15.75" customHeight="1" x14ac:dyDescent="0.2">
      <c r="A43" s="56">
        <v>44531</v>
      </c>
      <c r="B43" s="1" t="s">
        <v>199</v>
      </c>
      <c r="C43" s="1" t="s">
        <v>200</v>
      </c>
      <c r="D43" s="1" t="s">
        <v>552</v>
      </c>
      <c r="E43" s="58">
        <v>3178</v>
      </c>
      <c r="F43" s="1">
        <v>38</v>
      </c>
      <c r="G43" s="1">
        <v>1</v>
      </c>
      <c r="H43" t="s">
        <v>476</v>
      </c>
      <c r="I43" s="13">
        <v>44550</v>
      </c>
      <c r="J43" s="54">
        <v>3495.8</v>
      </c>
      <c r="K43" s="53">
        <v>0</v>
      </c>
      <c r="L43" s="68" t="s">
        <v>551</v>
      </c>
      <c r="M43" s="53">
        <v>0.10000000000000006</v>
      </c>
      <c r="N43" s="54">
        <v>349.58000000000021</v>
      </c>
    </row>
    <row r="44" spans="1:14" ht="15.75" customHeight="1" x14ac:dyDescent="0.2">
      <c r="A44" s="56">
        <v>44209</v>
      </c>
      <c r="B44" s="1" t="s">
        <v>163</v>
      </c>
      <c r="C44" s="1" t="s">
        <v>164</v>
      </c>
      <c r="D44" s="1" t="s">
        <v>554</v>
      </c>
      <c r="E44" s="58">
        <v>1747</v>
      </c>
      <c r="F44" s="1">
        <v>18</v>
      </c>
      <c r="G44" s="1">
        <v>2</v>
      </c>
      <c r="H44" t="s">
        <v>555</v>
      </c>
      <c r="I44" s="13">
        <v>44236</v>
      </c>
      <c r="J44" s="54">
        <v>1921.7</v>
      </c>
      <c r="K44" s="53">
        <v>0</v>
      </c>
      <c r="L44" s="68" t="s">
        <v>553</v>
      </c>
      <c r="M44" s="53">
        <v>0.10000000000000002</v>
      </c>
      <c r="N44" s="54">
        <v>384.34000000000009</v>
      </c>
    </row>
    <row r="45" spans="1:14" ht="15.75" customHeight="1" x14ac:dyDescent="0.2">
      <c r="A45" s="56">
        <v>44303</v>
      </c>
      <c r="B45" s="1" t="s">
        <v>173</v>
      </c>
      <c r="C45" s="1" t="s">
        <v>174</v>
      </c>
      <c r="D45" s="1" t="s">
        <v>557</v>
      </c>
      <c r="E45" s="58">
        <v>3069</v>
      </c>
      <c r="F45" s="1">
        <v>14</v>
      </c>
      <c r="G45" s="1">
        <v>1</v>
      </c>
      <c r="H45" t="s">
        <v>479</v>
      </c>
      <c r="I45" s="13">
        <v>44327</v>
      </c>
      <c r="J45" s="54">
        <v>3375.9</v>
      </c>
      <c r="K45" s="53">
        <v>0</v>
      </c>
      <c r="L45" s="68" t="s">
        <v>556</v>
      </c>
      <c r="M45" s="53">
        <v>0.10000000000000003</v>
      </c>
      <c r="N45" s="54">
        <v>337.59000000000009</v>
      </c>
    </row>
    <row r="46" spans="1:14" ht="15.75" customHeight="1" x14ac:dyDescent="0.2">
      <c r="A46" s="56">
        <v>44306</v>
      </c>
      <c r="B46" s="1" t="s">
        <v>329</v>
      </c>
      <c r="C46" s="1" t="s">
        <v>330</v>
      </c>
      <c r="D46" s="1" t="s">
        <v>559</v>
      </c>
      <c r="E46" s="58">
        <v>1510</v>
      </c>
      <c r="F46" s="1">
        <v>24</v>
      </c>
      <c r="G46" s="1">
        <v>3</v>
      </c>
      <c r="H46" t="s">
        <v>560</v>
      </c>
      <c r="I46" s="13">
        <v>44363</v>
      </c>
      <c r="J46" s="54">
        <v>1661</v>
      </c>
      <c r="K46" s="53">
        <v>0</v>
      </c>
      <c r="L46" s="68" t="s">
        <v>558</v>
      </c>
      <c r="M46" s="53">
        <v>0.1</v>
      </c>
      <c r="N46" s="54">
        <v>498.3</v>
      </c>
    </row>
    <row r="47" spans="1:14" ht="15.75" customHeight="1" x14ac:dyDescent="0.2">
      <c r="A47" s="56">
        <v>44371</v>
      </c>
      <c r="B47" s="1" t="s">
        <v>77</v>
      </c>
      <c r="C47" s="1" t="s">
        <v>78</v>
      </c>
      <c r="D47" s="1" t="s">
        <v>562</v>
      </c>
      <c r="E47" s="58">
        <v>4883</v>
      </c>
      <c r="F47" s="1">
        <v>14</v>
      </c>
      <c r="G47" s="1">
        <v>1</v>
      </c>
      <c r="H47" t="s">
        <v>563</v>
      </c>
      <c r="I47" s="13">
        <v>44477</v>
      </c>
      <c r="J47" s="54">
        <v>5371.3</v>
      </c>
      <c r="K47" s="53">
        <v>0</v>
      </c>
      <c r="L47" s="68" t="s">
        <v>561</v>
      </c>
      <c r="M47" s="53">
        <v>0.10000000000000003</v>
      </c>
      <c r="N47" s="54">
        <v>537.13000000000022</v>
      </c>
    </row>
    <row r="48" spans="1:14" ht="15.75" customHeight="1" x14ac:dyDescent="0.2">
      <c r="A48" s="56">
        <v>44538</v>
      </c>
      <c r="B48" s="1" t="s">
        <v>41</v>
      </c>
      <c r="C48" s="1" t="s">
        <v>42</v>
      </c>
      <c r="D48" s="1" t="s">
        <v>565</v>
      </c>
      <c r="E48" s="58">
        <v>13999</v>
      </c>
      <c r="F48" s="1">
        <v>27</v>
      </c>
      <c r="G48" s="1">
        <v>1</v>
      </c>
      <c r="H48" t="s">
        <v>471</v>
      </c>
      <c r="I48" s="13">
        <v>44544</v>
      </c>
      <c r="J48" s="54">
        <v>15398.9</v>
      </c>
      <c r="K48" s="53">
        <v>0.02</v>
      </c>
      <c r="L48" s="68" t="s">
        <v>564</v>
      </c>
      <c r="M48" s="53">
        <v>7.9999999999999974E-2</v>
      </c>
      <c r="N48" s="54">
        <v>1231.9119999999996</v>
      </c>
    </row>
    <row r="49" spans="1:14" ht="15.75" customHeight="1" x14ac:dyDescent="0.2">
      <c r="A49" s="56">
        <v>44311</v>
      </c>
      <c r="B49" s="1" t="s">
        <v>47</v>
      </c>
      <c r="C49" s="1" t="s">
        <v>48</v>
      </c>
      <c r="D49" s="1" t="s">
        <v>567</v>
      </c>
      <c r="E49" s="58">
        <v>3399</v>
      </c>
      <c r="F49" s="1">
        <v>37</v>
      </c>
      <c r="G49" s="1">
        <v>1</v>
      </c>
      <c r="H49" t="s">
        <v>460</v>
      </c>
      <c r="I49" s="13">
        <v>44337</v>
      </c>
      <c r="J49" s="54">
        <v>3738.9</v>
      </c>
      <c r="K49" s="53">
        <v>0</v>
      </c>
      <c r="L49" s="68" t="s">
        <v>566</v>
      </c>
      <c r="M49" s="53">
        <v>0.10000000000000003</v>
      </c>
      <c r="N49" s="54">
        <v>373.8900000000001</v>
      </c>
    </row>
    <row r="50" spans="1:14" ht="15.75" customHeight="1" x14ac:dyDescent="0.2">
      <c r="A50" s="56">
        <v>44527</v>
      </c>
      <c r="B50" s="1" t="s">
        <v>79</v>
      </c>
      <c r="C50" s="1" t="s">
        <v>80</v>
      </c>
      <c r="D50" s="1" t="s">
        <v>569</v>
      </c>
      <c r="E50" s="58">
        <v>610</v>
      </c>
      <c r="F50" s="1">
        <v>31</v>
      </c>
      <c r="G50" s="1">
        <v>2</v>
      </c>
      <c r="H50" t="s">
        <v>516</v>
      </c>
      <c r="I50" s="13">
        <v>44463</v>
      </c>
      <c r="J50" s="54">
        <v>671</v>
      </c>
      <c r="K50" s="53">
        <v>0</v>
      </c>
      <c r="L50" s="68" t="s">
        <v>568</v>
      </c>
      <c r="M50" s="53">
        <v>0.1</v>
      </c>
      <c r="N50" s="54">
        <v>134.19999999999999</v>
      </c>
    </row>
    <row r="51" spans="1:14" ht="15.75" customHeight="1" x14ac:dyDescent="0.2">
      <c r="A51" s="56">
        <v>44533</v>
      </c>
      <c r="B51" s="1" t="s">
        <v>291</v>
      </c>
      <c r="C51" s="1" t="s">
        <v>292</v>
      </c>
      <c r="D51" s="1" t="s">
        <v>575</v>
      </c>
      <c r="E51" s="58">
        <v>999</v>
      </c>
      <c r="F51" s="1">
        <v>3</v>
      </c>
      <c r="G51" s="1">
        <v>1</v>
      </c>
      <c r="H51" t="s">
        <v>500</v>
      </c>
      <c r="I51" s="13">
        <v>44538</v>
      </c>
      <c r="J51" s="54">
        <v>1098.9000000000001</v>
      </c>
      <c r="K51" s="53">
        <v>0</v>
      </c>
      <c r="L51" s="68" t="s">
        <v>574</v>
      </c>
      <c r="M51" s="53">
        <v>0.10000000000000009</v>
      </c>
      <c r="N51" s="54">
        <v>109.89000000000011</v>
      </c>
    </row>
    <row r="52" spans="1:14" ht="15.75" customHeight="1" x14ac:dyDescent="0.2">
      <c r="A52" s="56">
        <v>44448</v>
      </c>
      <c r="B52" s="1" t="s">
        <v>269</v>
      </c>
      <c r="C52" s="1" t="s">
        <v>270</v>
      </c>
      <c r="D52" s="1" t="s">
        <v>577</v>
      </c>
      <c r="E52" s="58">
        <v>319</v>
      </c>
      <c r="F52" s="1">
        <v>38</v>
      </c>
      <c r="G52" s="1">
        <v>5</v>
      </c>
      <c r="H52" t="s">
        <v>578</v>
      </c>
      <c r="I52" s="13">
        <v>44484</v>
      </c>
      <c r="J52" s="54">
        <v>350.9</v>
      </c>
      <c r="K52" s="53">
        <v>0.02</v>
      </c>
      <c r="L52" s="68" t="s">
        <v>576</v>
      </c>
      <c r="M52" s="53">
        <v>7.9999999999999932E-2</v>
      </c>
      <c r="N52" s="54">
        <v>140.35999999999987</v>
      </c>
    </row>
    <row r="53" spans="1:14" ht="15.75" customHeight="1" x14ac:dyDescent="0.2">
      <c r="A53" s="56">
        <v>44418</v>
      </c>
      <c r="B53" s="1" t="s">
        <v>243</v>
      </c>
      <c r="C53" s="1" t="s">
        <v>244</v>
      </c>
      <c r="D53" s="1" t="s">
        <v>580</v>
      </c>
      <c r="E53" s="58">
        <v>199</v>
      </c>
      <c r="F53" s="1">
        <v>33</v>
      </c>
      <c r="G53" s="1">
        <v>3</v>
      </c>
      <c r="H53" t="s">
        <v>465</v>
      </c>
      <c r="I53" s="13">
        <v>44435</v>
      </c>
      <c r="J53" s="54">
        <v>218.9</v>
      </c>
      <c r="K53" s="53">
        <v>0.03</v>
      </c>
      <c r="L53" s="68" t="s">
        <v>579</v>
      </c>
      <c r="M53" s="53">
        <v>7.0000000000000034E-2</v>
      </c>
      <c r="N53" s="54">
        <v>45.969000000000023</v>
      </c>
    </row>
    <row r="54" spans="1:14" ht="15.75" customHeight="1" x14ac:dyDescent="0.2">
      <c r="A54" s="56">
        <v>44478</v>
      </c>
      <c r="B54" s="1" t="s">
        <v>211</v>
      </c>
      <c r="C54" s="1" t="s">
        <v>212</v>
      </c>
      <c r="D54" s="1" t="s">
        <v>582</v>
      </c>
      <c r="E54" s="58">
        <v>2099</v>
      </c>
      <c r="F54" s="1">
        <v>14</v>
      </c>
      <c r="G54" s="1">
        <v>1</v>
      </c>
      <c r="H54" t="s">
        <v>583</v>
      </c>
      <c r="I54" s="13">
        <v>44489</v>
      </c>
      <c r="J54" s="54">
        <v>2308.9</v>
      </c>
      <c r="K54" s="53">
        <v>0</v>
      </c>
      <c r="L54" s="68" t="s">
        <v>581</v>
      </c>
      <c r="M54" s="53">
        <v>0.10000000000000005</v>
      </c>
      <c r="N54" s="54">
        <v>230.8900000000001</v>
      </c>
    </row>
    <row r="55" spans="1:14" ht="15.75" customHeight="1" x14ac:dyDescent="0.2">
      <c r="A55" s="56">
        <v>44298</v>
      </c>
      <c r="B55" s="1" t="s">
        <v>181</v>
      </c>
      <c r="C55" s="1" t="s">
        <v>182</v>
      </c>
      <c r="D55" s="1" t="s">
        <v>585</v>
      </c>
      <c r="E55" s="58">
        <v>2299</v>
      </c>
      <c r="F55" s="1">
        <v>33</v>
      </c>
      <c r="G55" s="1">
        <v>2</v>
      </c>
      <c r="H55" t="s">
        <v>586</v>
      </c>
      <c r="I55" s="13">
        <v>44426</v>
      </c>
      <c r="J55" s="54">
        <v>2528.9</v>
      </c>
      <c r="K55" s="53">
        <v>0</v>
      </c>
      <c r="L55" s="68" t="s">
        <v>584</v>
      </c>
      <c r="M55" s="53">
        <v>0.10000000000000003</v>
      </c>
      <c r="N55" s="54">
        <v>505.7800000000002</v>
      </c>
    </row>
    <row r="56" spans="1:14" ht="15.75" customHeight="1" x14ac:dyDescent="0.2">
      <c r="A56" s="56">
        <v>44231</v>
      </c>
      <c r="B56" s="1" t="s">
        <v>161</v>
      </c>
      <c r="C56" s="1" t="s">
        <v>162</v>
      </c>
      <c r="D56" s="1" t="s">
        <v>588</v>
      </c>
      <c r="E56" s="58">
        <v>2477</v>
      </c>
      <c r="F56" s="1">
        <v>37</v>
      </c>
      <c r="G56" s="1">
        <v>1</v>
      </c>
      <c r="H56" t="s">
        <v>589</v>
      </c>
      <c r="I56" s="13">
        <v>44307</v>
      </c>
      <c r="J56" s="54">
        <v>2724.7</v>
      </c>
      <c r="K56" s="53">
        <v>0</v>
      </c>
      <c r="L56" s="68" t="s">
        <v>587</v>
      </c>
      <c r="M56" s="53">
        <v>9.9999999999999922E-2</v>
      </c>
      <c r="N56" s="54">
        <v>272.4699999999998</v>
      </c>
    </row>
    <row r="57" spans="1:14" ht="15.75" customHeight="1" x14ac:dyDescent="0.2">
      <c r="A57" s="56">
        <v>44322</v>
      </c>
      <c r="B57" s="1" t="s">
        <v>179</v>
      </c>
      <c r="C57" s="1" t="s">
        <v>180</v>
      </c>
      <c r="D57" s="1" t="s">
        <v>591</v>
      </c>
      <c r="E57" s="58">
        <v>1759</v>
      </c>
      <c r="F57" s="1">
        <v>16</v>
      </c>
      <c r="G57" s="1">
        <v>2</v>
      </c>
      <c r="H57" t="s">
        <v>592</v>
      </c>
      <c r="I57" s="13">
        <v>44385</v>
      </c>
      <c r="J57" s="54">
        <v>1934.9</v>
      </c>
      <c r="K57" s="53">
        <v>0.03</v>
      </c>
      <c r="L57" s="68" t="s">
        <v>590</v>
      </c>
      <c r="M57" s="53">
        <v>7.0000000000000048E-2</v>
      </c>
      <c r="N57" s="54">
        <v>270.88600000000019</v>
      </c>
    </row>
    <row r="58" spans="1:14" ht="15.75" customHeight="1" x14ac:dyDescent="0.2">
      <c r="A58" s="56">
        <v>44386</v>
      </c>
      <c r="B58" s="1" t="s">
        <v>187</v>
      </c>
      <c r="C58" s="1" t="s">
        <v>188</v>
      </c>
      <c r="D58" s="1" t="s">
        <v>594</v>
      </c>
      <c r="E58" s="58">
        <v>1049</v>
      </c>
      <c r="F58" s="1">
        <v>3</v>
      </c>
      <c r="G58" s="1">
        <v>1</v>
      </c>
      <c r="H58" t="s">
        <v>460</v>
      </c>
      <c r="I58" s="13">
        <v>44433</v>
      </c>
      <c r="J58" s="54">
        <v>1153.9000000000001</v>
      </c>
      <c r="K58" s="53">
        <v>0</v>
      </c>
      <c r="L58" s="68" t="s">
        <v>593</v>
      </c>
      <c r="M58" s="53">
        <v>0.10000000000000009</v>
      </c>
      <c r="N58" s="54">
        <v>115.39000000000011</v>
      </c>
    </row>
    <row r="59" spans="1:14" ht="15.75" customHeight="1" x14ac:dyDescent="0.2">
      <c r="A59" s="56">
        <v>44270</v>
      </c>
      <c r="B59" s="1" t="s">
        <v>193</v>
      </c>
      <c r="C59" s="1" t="s">
        <v>194</v>
      </c>
      <c r="D59" s="1" t="s">
        <v>596</v>
      </c>
      <c r="E59" s="58">
        <v>4520</v>
      </c>
      <c r="F59" s="1">
        <v>37</v>
      </c>
      <c r="G59" s="1">
        <v>1</v>
      </c>
      <c r="H59" t="s">
        <v>454</v>
      </c>
      <c r="I59" s="13">
        <v>44279</v>
      </c>
      <c r="J59" s="54">
        <v>4972</v>
      </c>
      <c r="K59" s="53">
        <v>0</v>
      </c>
      <c r="L59" s="68" t="s">
        <v>595</v>
      </c>
      <c r="M59" s="53">
        <v>0.1</v>
      </c>
      <c r="N59" s="54">
        <v>497.2</v>
      </c>
    </row>
    <row r="60" spans="1:14" ht="15.75" customHeight="1" x14ac:dyDescent="0.2">
      <c r="A60" s="56">
        <v>44306</v>
      </c>
      <c r="B60" s="1" t="s">
        <v>329</v>
      </c>
      <c r="C60" s="1" t="s">
        <v>330</v>
      </c>
      <c r="D60" s="1" t="s">
        <v>598</v>
      </c>
      <c r="E60" s="58">
        <v>1510</v>
      </c>
      <c r="F60" s="1">
        <v>23</v>
      </c>
      <c r="G60" s="1">
        <v>1</v>
      </c>
      <c r="H60" t="s">
        <v>599</v>
      </c>
      <c r="I60" s="13">
        <v>44365</v>
      </c>
      <c r="J60" s="54">
        <v>1661</v>
      </c>
      <c r="K60" s="53">
        <v>0</v>
      </c>
      <c r="L60" s="68" t="s">
        <v>597</v>
      </c>
      <c r="M60" s="53">
        <v>0.1</v>
      </c>
      <c r="N60" s="54">
        <v>166.1</v>
      </c>
    </row>
    <row r="61" spans="1:14" ht="15.75" customHeight="1" x14ac:dyDescent="0.2">
      <c r="A61" s="56">
        <v>44462</v>
      </c>
      <c r="B61" s="1" t="s">
        <v>301</v>
      </c>
      <c r="C61" s="1" t="s">
        <v>302</v>
      </c>
      <c r="D61" s="1" t="s">
        <v>601</v>
      </c>
      <c r="E61" s="58">
        <v>459</v>
      </c>
      <c r="F61" s="1">
        <v>11</v>
      </c>
      <c r="G61" s="1">
        <v>2</v>
      </c>
      <c r="H61" t="s">
        <v>602</v>
      </c>
      <c r="I61" s="13">
        <v>44491</v>
      </c>
      <c r="J61" s="54">
        <v>504.9</v>
      </c>
      <c r="K61" s="53">
        <v>0</v>
      </c>
      <c r="L61" s="68" t="s">
        <v>600</v>
      </c>
      <c r="M61" s="53">
        <v>9.999999999999995E-2</v>
      </c>
      <c r="N61" s="54">
        <v>100.97999999999995</v>
      </c>
    </row>
    <row r="62" spans="1:14" ht="15.75" customHeight="1" x14ac:dyDescent="0.2">
      <c r="A62" s="56">
        <v>44226</v>
      </c>
      <c r="B62" s="1" t="s">
        <v>305</v>
      </c>
      <c r="C62" s="1" t="s">
        <v>306</v>
      </c>
      <c r="D62" s="1" t="s">
        <v>604</v>
      </c>
      <c r="E62" s="58">
        <v>459</v>
      </c>
      <c r="F62" s="1">
        <v>47</v>
      </c>
      <c r="G62" s="1">
        <v>1</v>
      </c>
      <c r="H62" t="s">
        <v>605</v>
      </c>
      <c r="I62" s="13">
        <v>44251</v>
      </c>
      <c r="J62" s="54">
        <v>504.9</v>
      </c>
      <c r="K62" s="53">
        <v>0.02</v>
      </c>
      <c r="L62" s="68" t="s">
        <v>603</v>
      </c>
      <c r="M62" s="53">
        <v>7.9999999999999946E-2</v>
      </c>
      <c r="N62" s="54">
        <v>40.391999999999975</v>
      </c>
    </row>
    <row r="63" spans="1:14" ht="15.75" customHeight="1" x14ac:dyDescent="0.2">
      <c r="A63" s="56">
        <v>44469</v>
      </c>
      <c r="B63" s="1" t="s">
        <v>275</v>
      </c>
      <c r="C63" s="1" t="s">
        <v>276</v>
      </c>
      <c r="D63" s="1" t="s">
        <v>607</v>
      </c>
      <c r="E63" s="58">
        <v>1999</v>
      </c>
      <c r="F63" s="1">
        <v>4</v>
      </c>
      <c r="G63" s="1">
        <v>1</v>
      </c>
      <c r="H63" t="s">
        <v>608</v>
      </c>
      <c r="I63" s="13">
        <v>44508</v>
      </c>
      <c r="J63" s="54">
        <v>2198.9</v>
      </c>
      <c r="K63" s="53">
        <v>0</v>
      </c>
      <c r="L63" s="68" t="s">
        <v>606</v>
      </c>
      <c r="M63" s="53">
        <v>0.10000000000000005</v>
      </c>
      <c r="N63" s="54">
        <v>219.8900000000001</v>
      </c>
    </row>
    <row r="64" spans="1:14" ht="15.75" customHeight="1" x14ac:dyDescent="0.2">
      <c r="A64" s="56">
        <v>44203</v>
      </c>
      <c r="B64" s="1" t="s">
        <v>207</v>
      </c>
      <c r="C64" s="1" t="s">
        <v>208</v>
      </c>
      <c r="D64" s="1" t="s">
        <v>610</v>
      </c>
      <c r="E64" s="58">
        <v>3509</v>
      </c>
      <c r="F64" s="1">
        <v>31</v>
      </c>
      <c r="G64" s="1">
        <v>1</v>
      </c>
      <c r="H64" t="s">
        <v>611</v>
      </c>
      <c r="I64" s="13">
        <v>44215</v>
      </c>
      <c r="J64" s="54">
        <v>3859.9</v>
      </c>
      <c r="K64" s="53">
        <v>0</v>
      </c>
      <c r="L64" s="68" t="s">
        <v>609</v>
      </c>
      <c r="M64" s="53">
        <v>0.10000000000000002</v>
      </c>
      <c r="N64" s="54">
        <v>385.99000000000012</v>
      </c>
    </row>
    <row r="65" spans="1:14" ht="15.75" customHeight="1" x14ac:dyDescent="0.2">
      <c r="A65" s="56">
        <v>44213</v>
      </c>
      <c r="B65" s="1" t="s">
        <v>233</v>
      </c>
      <c r="C65" s="1" t="s">
        <v>234</v>
      </c>
      <c r="D65" s="1" t="s">
        <v>613</v>
      </c>
      <c r="E65" s="58">
        <v>378</v>
      </c>
      <c r="F65" s="1">
        <v>25</v>
      </c>
      <c r="G65" s="1">
        <v>2</v>
      </c>
      <c r="H65" t="s">
        <v>563</v>
      </c>
      <c r="I65" s="13">
        <v>44250</v>
      </c>
      <c r="J65" s="54">
        <v>415.8</v>
      </c>
      <c r="K65" s="53">
        <v>0</v>
      </c>
      <c r="L65" s="68" t="s">
        <v>612</v>
      </c>
      <c r="M65" s="53">
        <v>0.10000000000000003</v>
      </c>
      <c r="N65" s="54">
        <v>83.160000000000025</v>
      </c>
    </row>
    <row r="66" spans="1:14" ht="15.75" customHeight="1" x14ac:dyDescent="0.2">
      <c r="A66" s="56">
        <v>44541</v>
      </c>
      <c r="B66" s="1" t="s">
        <v>183</v>
      </c>
      <c r="C66" s="1" t="s">
        <v>184</v>
      </c>
      <c r="D66" s="1" t="s">
        <v>615</v>
      </c>
      <c r="E66" s="58">
        <v>2219</v>
      </c>
      <c r="F66" s="1">
        <v>43</v>
      </c>
      <c r="G66" s="1">
        <v>1</v>
      </c>
      <c r="H66" t="s">
        <v>555</v>
      </c>
      <c r="I66" s="13">
        <v>44546</v>
      </c>
      <c r="J66" s="54">
        <v>2440.9</v>
      </c>
      <c r="K66" s="53">
        <v>0</v>
      </c>
      <c r="L66" s="68" t="s">
        <v>614</v>
      </c>
      <c r="M66" s="53">
        <v>0.10000000000000005</v>
      </c>
      <c r="N66" s="54">
        <v>244.09000000000012</v>
      </c>
    </row>
    <row r="67" spans="1:14" ht="15.75" customHeight="1" x14ac:dyDescent="0.2">
      <c r="A67" s="56">
        <v>44390</v>
      </c>
      <c r="B67" s="1" t="s">
        <v>133</v>
      </c>
      <c r="C67" s="1" t="s">
        <v>134</v>
      </c>
      <c r="D67" s="1" t="s">
        <v>617</v>
      </c>
      <c r="E67" s="58">
        <v>5799</v>
      </c>
      <c r="F67" s="1">
        <v>14</v>
      </c>
      <c r="G67" s="1">
        <v>1</v>
      </c>
      <c r="H67" t="s">
        <v>618</v>
      </c>
      <c r="I67" s="13">
        <v>44428</v>
      </c>
      <c r="J67" s="54">
        <v>6378.9</v>
      </c>
      <c r="K67" s="53">
        <v>0</v>
      </c>
      <c r="L67" s="68" t="s">
        <v>616</v>
      </c>
      <c r="M67" s="53">
        <v>9.9999999999999936E-2</v>
      </c>
      <c r="N67" s="54">
        <v>637.88999999999953</v>
      </c>
    </row>
    <row r="68" spans="1:14" ht="15.75" customHeight="1" x14ac:dyDescent="0.2">
      <c r="A68" s="56">
        <v>44304</v>
      </c>
      <c r="B68" s="1" t="s">
        <v>97</v>
      </c>
      <c r="C68" s="1" t="s">
        <v>98</v>
      </c>
      <c r="D68" s="1" t="s">
        <v>620</v>
      </c>
      <c r="E68" s="58">
        <v>2199</v>
      </c>
      <c r="F68" s="1">
        <v>44</v>
      </c>
      <c r="G68" s="1">
        <v>2</v>
      </c>
      <c r="H68" t="s">
        <v>621</v>
      </c>
      <c r="I68" s="13">
        <v>44357</v>
      </c>
      <c r="J68" s="54">
        <v>2418.9</v>
      </c>
      <c r="K68" s="53">
        <v>0</v>
      </c>
      <c r="L68" s="68" t="s">
        <v>619</v>
      </c>
      <c r="M68" s="53">
        <v>0.10000000000000005</v>
      </c>
      <c r="N68" s="54">
        <v>483.7800000000002</v>
      </c>
    </row>
    <row r="69" spans="1:14" ht="15.75" customHeight="1" x14ac:dyDescent="0.2">
      <c r="A69" s="56">
        <v>44371</v>
      </c>
      <c r="B69" s="1" t="s">
        <v>77</v>
      </c>
      <c r="C69" s="1" t="s">
        <v>78</v>
      </c>
      <c r="D69" s="1" t="s">
        <v>623</v>
      </c>
      <c r="E69" s="58">
        <v>4883</v>
      </c>
      <c r="F69" s="1">
        <v>13</v>
      </c>
      <c r="G69" s="1">
        <v>1</v>
      </c>
      <c r="H69" t="s">
        <v>503</v>
      </c>
      <c r="I69" s="13">
        <v>44384</v>
      </c>
      <c r="J69" s="54">
        <v>5371.3</v>
      </c>
      <c r="K69" s="53">
        <v>0</v>
      </c>
      <c r="L69" s="68" t="s">
        <v>622</v>
      </c>
      <c r="M69" s="53">
        <v>0.10000000000000003</v>
      </c>
      <c r="N69" s="54">
        <v>537.13000000000022</v>
      </c>
    </row>
    <row r="70" spans="1:14" ht="15.75" customHeight="1" x14ac:dyDescent="0.2">
      <c r="A70" s="56">
        <v>44415</v>
      </c>
      <c r="B70" s="1" t="s">
        <v>45</v>
      </c>
      <c r="C70" s="1" t="s">
        <v>46</v>
      </c>
      <c r="D70" s="1" t="s">
        <v>625</v>
      </c>
      <c r="E70" s="58">
        <v>33999</v>
      </c>
      <c r="F70" s="1">
        <v>36</v>
      </c>
      <c r="G70" s="1">
        <v>1</v>
      </c>
      <c r="H70" t="s">
        <v>440</v>
      </c>
      <c r="I70" s="13">
        <v>44476</v>
      </c>
      <c r="J70" s="54">
        <v>37398.9</v>
      </c>
      <c r="K70" s="53">
        <v>0.03</v>
      </c>
      <c r="L70" s="68" t="s">
        <v>624</v>
      </c>
      <c r="M70" s="53">
        <v>7.0000000000000048E-2</v>
      </c>
      <c r="N70" s="54">
        <v>2617.9230000000016</v>
      </c>
    </row>
    <row r="71" spans="1:14" ht="15.75" customHeight="1" x14ac:dyDescent="0.2">
      <c r="A71" s="56">
        <v>44551</v>
      </c>
      <c r="B71" s="1" t="s">
        <v>33</v>
      </c>
      <c r="C71" s="1" t="s">
        <v>34</v>
      </c>
      <c r="D71" s="1" t="s">
        <v>627</v>
      </c>
      <c r="E71" s="58">
        <v>647.99</v>
      </c>
      <c r="F71" s="1">
        <v>19</v>
      </c>
      <c r="G71" s="1">
        <v>3</v>
      </c>
      <c r="H71" t="s">
        <v>471</v>
      </c>
      <c r="I71" s="13">
        <v>44553</v>
      </c>
      <c r="J71" s="54">
        <v>712.78899999999999</v>
      </c>
      <c r="K71" s="53">
        <v>0.02</v>
      </c>
      <c r="L71" s="68" t="s">
        <v>626</v>
      </c>
      <c r="M71" s="53">
        <v>7.999999999999996E-2</v>
      </c>
      <c r="N71" s="54">
        <v>171.06935999999993</v>
      </c>
    </row>
    <row r="72" spans="1:14" ht="15.75" customHeight="1" x14ac:dyDescent="0.2">
      <c r="A72" s="56">
        <v>44212</v>
      </c>
      <c r="B72" s="1" t="s">
        <v>57</v>
      </c>
      <c r="C72" s="1" t="s">
        <v>58</v>
      </c>
      <c r="D72" s="1" t="s">
        <v>629</v>
      </c>
      <c r="E72" s="58">
        <v>2499</v>
      </c>
      <c r="F72" s="1">
        <v>23</v>
      </c>
      <c r="G72" s="1">
        <v>1</v>
      </c>
      <c r="H72" t="s">
        <v>468</v>
      </c>
      <c r="I72" s="13">
        <v>44351</v>
      </c>
      <c r="J72" s="54">
        <v>2748.9</v>
      </c>
      <c r="K72" s="53">
        <v>0</v>
      </c>
      <c r="L72" s="68" t="s">
        <v>628</v>
      </c>
      <c r="M72" s="53">
        <v>0.10000000000000003</v>
      </c>
      <c r="N72" s="54">
        <v>274.8900000000001</v>
      </c>
    </row>
    <row r="73" spans="1:14" ht="15.75" customHeight="1" x14ac:dyDescent="0.2">
      <c r="A73" s="56">
        <v>44332</v>
      </c>
      <c r="B73" s="1" t="s">
        <v>65</v>
      </c>
      <c r="C73" s="1" t="s">
        <v>66</v>
      </c>
      <c r="D73" s="1" t="s">
        <v>631</v>
      </c>
      <c r="E73" s="58">
        <v>4799</v>
      </c>
      <c r="F73" s="1">
        <v>12</v>
      </c>
      <c r="G73" s="1">
        <v>1</v>
      </c>
      <c r="H73" t="s">
        <v>510</v>
      </c>
      <c r="I73" s="13">
        <v>44516</v>
      </c>
      <c r="J73" s="54">
        <v>5278.9</v>
      </c>
      <c r="K73" s="53">
        <v>0</v>
      </c>
      <c r="L73" s="68" t="s">
        <v>630</v>
      </c>
      <c r="M73" s="53">
        <v>9.9999999999999922E-2</v>
      </c>
      <c r="N73" s="54">
        <v>527.88999999999953</v>
      </c>
    </row>
    <row r="74" spans="1:14" ht="15.75" customHeight="1" x14ac:dyDescent="0.2">
      <c r="A74" s="56">
        <v>44306</v>
      </c>
      <c r="B74" s="1" t="s">
        <v>73</v>
      </c>
      <c r="C74" s="1" t="s">
        <v>74</v>
      </c>
      <c r="D74" s="1" t="s">
        <v>633</v>
      </c>
      <c r="E74" s="58">
        <v>2569</v>
      </c>
      <c r="F74" s="1">
        <v>16</v>
      </c>
      <c r="G74" s="1">
        <v>2</v>
      </c>
      <c r="H74" t="s">
        <v>539</v>
      </c>
      <c r="I74" s="13">
        <v>44379</v>
      </c>
      <c r="J74" s="54">
        <v>2825.9</v>
      </c>
      <c r="K74" s="53">
        <v>0</v>
      </c>
      <c r="L74" s="68" t="s">
        <v>632</v>
      </c>
      <c r="M74" s="53">
        <v>0.10000000000000003</v>
      </c>
      <c r="N74" s="54">
        <v>565.18000000000018</v>
      </c>
    </row>
    <row r="75" spans="1:14" ht="15.75" customHeight="1" x14ac:dyDescent="0.2">
      <c r="A75" s="56">
        <v>44246</v>
      </c>
      <c r="B75" s="1" t="s">
        <v>571</v>
      </c>
      <c r="C75" s="1" t="s">
        <v>570</v>
      </c>
      <c r="D75" s="1" t="s">
        <v>635</v>
      </c>
      <c r="E75" s="58">
        <v>2255</v>
      </c>
      <c r="F75" s="1">
        <v>29</v>
      </c>
      <c r="G75" s="1">
        <v>2</v>
      </c>
      <c r="H75" t="s">
        <v>441</v>
      </c>
      <c r="I75" s="13">
        <v>44301</v>
      </c>
      <c r="J75" s="54">
        <v>2480.5</v>
      </c>
      <c r="K75" s="53">
        <v>0.02</v>
      </c>
      <c r="L75" s="68" t="s">
        <v>634</v>
      </c>
      <c r="M75" s="53">
        <v>0.08</v>
      </c>
      <c r="N75" s="54">
        <v>396.88</v>
      </c>
    </row>
    <row r="76" spans="1:14" ht="15.75" customHeight="1" x14ac:dyDescent="0.2">
      <c r="A76" s="56">
        <v>44521</v>
      </c>
      <c r="B76" s="1" t="s">
        <v>85</v>
      </c>
      <c r="C76" s="1" t="s">
        <v>86</v>
      </c>
      <c r="D76" s="1" t="s">
        <v>637</v>
      </c>
      <c r="E76" s="58">
        <v>605</v>
      </c>
      <c r="F76" s="1">
        <v>19</v>
      </c>
      <c r="G76" s="1">
        <v>2</v>
      </c>
      <c r="H76" t="s">
        <v>476</v>
      </c>
      <c r="I76" s="13">
        <v>44540</v>
      </c>
      <c r="J76" s="54">
        <v>665.5</v>
      </c>
      <c r="K76" s="53">
        <v>0</v>
      </c>
      <c r="L76" s="68" t="s">
        <v>636</v>
      </c>
      <c r="M76" s="53">
        <v>0.1</v>
      </c>
      <c r="N76" s="54">
        <v>133.1</v>
      </c>
    </row>
    <row r="77" spans="1:14" ht="15.75" customHeight="1" x14ac:dyDescent="0.2">
      <c r="A77" s="56">
        <v>44424</v>
      </c>
      <c r="B77" s="1" t="s">
        <v>113</v>
      </c>
      <c r="C77" s="1" t="s">
        <v>114</v>
      </c>
      <c r="D77" s="1" t="s">
        <v>639</v>
      </c>
      <c r="E77" s="58">
        <v>3949</v>
      </c>
      <c r="F77" s="1">
        <v>32</v>
      </c>
      <c r="G77" s="1">
        <v>1</v>
      </c>
      <c r="H77" t="s">
        <v>495</v>
      </c>
      <c r="I77" s="13">
        <v>44442</v>
      </c>
      <c r="J77" s="54">
        <v>4343.8999999999996</v>
      </c>
      <c r="K77" s="53">
        <v>0</v>
      </c>
      <c r="L77" s="68" t="s">
        <v>638</v>
      </c>
      <c r="M77" s="53">
        <v>9.9999999999999908E-2</v>
      </c>
      <c r="N77" s="54">
        <v>434.38999999999959</v>
      </c>
    </row>
    <row r="78" spans="1:14" ht="15.75" customHeight="1" x14ac:dyDescent="0.2">
      <c r="A78" s="56">
        <v>44396</v>
      </c>
      <c r="B78" s="1" t="s">
        <v>123</v>
      </c>
      <c r="C78" s="1" t="s">
        <v>124</v>
      </c>
      <c r="D78" s="1" t="s">
        <v>641</v>
      </c>
      <c r="E78" s="58">
        <v>2199</v>
      </c>
      <c r="F78" s="1">
        <v>42</v>
      </c>
      <c r="G78" s="1">
        <v>2</v>
      </c>
      <c r="H78" t="s">
        <v>457</v>
      </c>
      <c r="I78" s="13">
        <v>44425</v>
      </c>
      <c r="J78" s="54">
        <v>2418.9</v>
      </c>
      <c r="K78" s="53">
        <v>0.02</v>
      </c>
      <c r="L78" s="68" t="s">
        <v>640</v>
      </c>
      <c r="M78" s="53">
        <v>8.0000000000000043E-2</v>
      </c>
      <c r="N78" s="54">
        <v>387.02400000000023</v>
      </c>
    </row>
    <row r="79" spans="1:14" ht="15.75" customHeight="1" x14ac:dyDescent="0.2">
      <c r="A79" s="56">
        <v>44508</v>
      </c>
      <c r="B79" s="1" t="s">
        <v>149</v>
      </c>
      <c r="C79" s="1" t="s">
        <v>150</v>
      </c>
      <c r="D79" s="1" t="s">
        <v>643</v>
      </c>
      <c r="E79" s="58">
        <v>1499</v>
      </c>
      <c r="F79" s="1">
        <v>41</v>
      </c>
      <c r="G79" s="1">
        <v>1</v>
      </c>
      <c r="H79" t="s">
        <v>479</v>
      </c>
      <c r="I79" s="13">
        <v>44523</v>
      </c>
      <c r="J79" s="54">
        <v>1648.9</v>
      </c>
      <c r="K79" s="53">
        <v>0</v>
      </c>
      <c r="L79" s="68" t="s">
        <v>642</v>
      </c>
      <c r="M79" s="53">
        <v>0.10000000000000006</v>
      </c>
      <c r="N79" s="54">
        <v>164.8900000000001</v>
      </c>
    </row>
    <row r="80" spans="1:14" ht="15.75" customHeight="1" x14ac:dyDescent="0.2">
      <c r="A80" s="56">
        <v>44303</v>
      </c>
      <c r="B80" s="1" t="s">
        <v>173</v>
      </c>
      <c r="C80" s="1" t="s">
        <v>174</v>
      </c>
      <c r="D80" s="1" t="s">
        <v>645</v>
      </c>
      <c r="E80" s="58">
        <v>3069</v>
      </c>
      <c r="F80" s="1">
        <v>12</v>
      </c>
      <c r="G80" s="1">
        <v>2</v>
      </c>
      <c r="H80" t="s">
        <v>444</v>
      </c>
      <c r="I80" s="13">
        <v>44328</v>
      </c>
      <c r="J80" s="54">
        <v>3375.9</v>
      </c>
      <c r="K80" s="53">
        <v>0</v>
      </c>
      <c r="L80" s="68" t="s">
        <v>644</v>
      </c>
      <c r="M80" s="53">
        <v>0.10000000000000003</v>
      </c>
      <c r="N80" s="54">
        <v>675.18000000000018</v>
      </c>
    </row>
    <row r="81" spans="1:14" ht="15.75" customHeight="1" x14ac:dyDescent="0.2">
      <c r="A81" s="56">
        <v>44239</v>
      </c>
      <c r="B81" s="1" t="s">
        <v>185</v>
      </c>
      <c r="C81" s="1" t="s">
        <v>186</v>
      </c>
      <c r="D81" s="1" t="s">
        <v>647</v>
      </c>
      <c r="E81" s="58">
        <v>1459</v>
      </c>
      <c r="F81" s="1">
        <v>46</v>
      </c>
      <c r="G81" s="1">
        <v>2</v>
      </c>
      <c r="H81" t="s">
        <v>439</v>
      </c>
      <c r="I81" s="13">
        <v>44298</v>
      </c>
      <c r="J81" s="54">
        <v>1604.9</v>
      </c>
      <c r="K81" s="53">
        <v>0</v>
      </c>
      <c r="L81" s="68" t="s">
        <v>646</v>
      </c>
      <c r="M81" s="53">
        <v>0.10000000000000006</v>
      </c>
      <c r="N81" s="54">
        <v>320.98000000000025</v>
      </c>
    </row>
    <row r="82" spans="1:14" ht="15.75" customHeight="1" x14ac:dyDescent="0.2">
      <c r="A82" s="56">
        <v>44310</v>
      </c>
      <c r="B82" s="1" t="s">
        <v>141</v>
      </c>
      <c r="C82" s="1" t="s">
        <v>142</v>
      </c>
      <c r="D82" s="1" t="s">
        <v>649</v>
      </c>
      <c r="E82" s="58">
        <v>1549</v>
      </c>
      <c r="F82" s="1">
        <v>15</v>
      </c>
      <c r="G82" s="1">
        <v>1</v>
      </c>
      <c r="H82" t="s">
        <v>449</v>
      </c>
      <c r="I82" s="13">
        <v>44335</v>
      </c>
      <c r="J82" s="54">
        <v>1703.9</v>
      </c>
      <c r="K82" s="53">
        <v>0</v>
      </c>
      <c r="L82" s="68" t="s">
        <v>648</v>
      </c>
      <c r="M82" s="53">
        <v>0.10000000000000006</v>
      </c>
      <c r="N82" s="54">
        <v>170.3900000000001</v>
      </c>
    </row>
    <row r="83" spans="1:14" ht="15.75" customHeight="1" x14ac:dyDescent="0.2">
      <c r="A83" s="56">
        <v>44442</v>
      </c>
      <c r="B83" s="1" t="s">
        <v>105</v>
      </c>
      <c r="C83" s="1" t="s">
        <v>106</v>
      </c>
      <c r="D83" s="1" t="s">
        <v>651</v>
      </c>
      <c r="E83" s="58">
        <v>3899</v>
      </c>
      <c r="F83" s="1">
        <v>23</v>
      </c>
      <c r="G83" s="1">
        <v>1</v>
      </c>
      <c r="H83" t="s">
        <v>523</v>
      </c>
      <c r="I83" s="13">
        <v>44475</v>
      </c>
      <c r="J83" s="54">
        <v>4288.8999999999996</v>
      </c>
      <c r="K83" s="53">
        <v>0.02</v>
      </c>
      <c r="L83" s="68" t="s">
        <v>650</v>
      </c>
      <c r="M83" s="53">
        <v>7.9999999999999905E-2</v>
      </c>
      <c r="N83" s="54">
        <v>343.11199999999957</v>
      </c>
    </row>
    <row r="84" spans="1:14" ht="15.75" customHeight="1" x14ac:dyDescent="0.2">
      <c r="A84" s="56">
        <v>44261</v>
      </c>
      <c r="B84" s="1" t="s">
        <v>131</v>
      </c>
      <c r="C84" s="1" t="s">
        <v>132</v>
      </c>
      <c r="D84" s="1" t="s">
        <v>653</v>
      </c>
      <c r="E84" s="58">
        <v>2969</v>
      </c>
      <c r="F84" s="1">
        <v>44</v>
      </c>
      <c r="G84" s="1">
        <v>1</v>
      </c>
      <c r="H84" t="s">
        <v>544</v>
      </c>
      <c r="I84" s="13">
        <v>44421</v>
      </c>
      <c r="J84" s="54">
        <v>3265.9</v>
      </c>
      <c r="K84" s="53">
        <v>0</v>
      </c>
      <c r="L84" s="68" t="s">
        <v>652</v>
      </c>
      <c r="M84" s="53">
        <v>0.10000000000000003</v>
      </c>
      <c r="N84" s="54">
        <v>326.59000000000009</v>
      </c>
    </row>
    <row r="85" spans="1:14" ht="15.75" customHeight="1" x14ac:dyDescent="0.2">
      <c r="A85" s="56">
        <v>44533</v>
      </c>
      <c r="B85" s="1" t="s">
        <v>165</v>
      </c>
      <c r="C85" s="1" t="s">
        <v>166</v>
      </c>
      <c r="D85" s="1" t="s">
        <v>655</v>
      </c>
      <c r="E85" s="58">
        <v>1599</v>
      </c>
      <c r="F85" s="1">
        <v>12</v>
      </c>
      <c r="G85" s="1">
        <v>2</v>
      </c>
      <c r="H85" t="s">
        <v>589</v>
      </c>
      <c r="I85" s="13">
        <v>44559</v>
      </c>
      <c r="J85" s="54">
        <v>1758.9</v>
      </c>
      <c r="K85" s="53">
        <v>0</v>
      </c>
      <c r="L85" s="68" t="s">
        <v>654</v>
      </c>
      <c r="M85" s="53">
        <v>0.10000000000000006</v>
      </c>
      <c r="N85" s="54">
        <v>351.7800000000002</v>
      </c>
    </row>
    <row r="86" spans="1:14" ht="15.75" customHeight="1" x14ac:dyDescent="0.2">
      <c r="A86" s="56">
        <v>44417</v>
      </c>
      <c r="B86" s="1" t="s">
        <v>189</v>
      </c>
      <c r="C86" s="1" t="s">
        <v>190</v>
      </c>
      <c r="D86" s="1" t="s">
        <v>657</v>
      </c>
      <c r="E86" s="58">
        <v>2035</v>
      </c>
      <c r="F86" s="1">
        <v>15</v>
      </c>
      <c r="G86" s="1">
        <v>2</v>
      </c>
      <c r="H86" t="s">
        <v>471</v>
      </c>
      <c r="I86" s="13">
        <v>44497</v>
      </c>
      <c r="J86" s="54">
        <v>2238.5</v>
      </c>
      <c r="K86" s="53">
        <v>0.02</v>
      </c>
      <c r="L86" s="68" t="s">
        <v>656</v>
      </c>
      <c r="M86" s="53">
        <v>0.08</v>
      </c>
      <c r="N86" s="54">
        <v>358.16</v>
      </c>
    </row>
    <row r="87" spans="1:14" ht="15.75" customHeight="1" x14ac:dyDescent="0.2">
      <c r="A87" s="56">
        <v>44380</v>
      </c>
      <c r="B87" s="1" t="s">
        <v>205</v>
      </c>
      <c r="C87" s="1" t="s">
        <v>206</v>
      </c>
      <c r="D87" s="1" t="s">
        <v>658</v>
      </c>
      <c r="E87" s="58">
        <v>1299</v>
      </c>
      <c r="F87" s="1">
        <v>31</v>
      </c>
      <c r="G87" s="1">
        <v>1</v>
      </c>
      <c r="H87" t="s">
        <v>563</v>
      </c>
      <c r="I87" s="13">
        <v>44454</v>
      </c>
      <c r="J87" s="54">
        <v>1428.9</v>
      </c>
      <c r="K87" s="53">
        <v>0</v>
      </c>
      <c r="L87" s="68" t="s">
        <v>659</v>
      </c>
      <c r="M87" s="53">
        <v>0.10000000000000007</v>
      </c>
      <c r="N87" s="54">
        <v>142.8900000000001</v>
      </c>
    </row>
    <row r="88" spans="1:14" ht="15.75" customHeight="1" x14ac:dyDescent="0.2">
      <c r="A88" s="56">
        <v>44290</v>
      </c>
      <c r="B88" s="1" t="s">
        <v>247</v>
      </c>
      <c r="C88" s="1" t="s">
        <v>248</v>
      </c>
      <c r="D88" s="1" t="s">
        <v>661</v>
      </c>
      <c r="E88" s="58">
        <v>165</v>
      </c>
      <c r="F88" s="1">
        <v>7</v>
      </c>
      <c r="G88" s="1">
        <v>10</v>
      </c>
      <c r="H88" t="s">
        <v>444</v>
      </c>
      <c r="I88" s="13">
        <v>44323</v>
      </c>
      <c r="J88" s="54">
        <v>181.5</v>
      </c>
      <c r="K88" s="53">
        <v>0</v>
      </c>
      <c r="L88" s="68" t="s">
        <v>660</v>
      </c>
      <c r="M88" s="53">
        <v>0.1</v>
      </c>
      <c r="N88" s="54">
        <v>181.5</v>
      </c>
    </row>
    <row r="89" spans="1:14" ht="15.75" customHeight="1" x14ac:dyDescent="0.2">
      <c r="A89" s="56">
        <v>44349</v>
      </c>
      <c r="B89" s="1" t="s">
        <v>253</v>
      </c>
      <c r="C89" s="1" t="s">
        <v>254</v>
      </c>
      <c r="D89" s="1" t="s">
        <v>663</v>
      </c>
      <c r="E89" s="58">
        <v>609</v>
      </c>
      <c r="F89" s="1">
        <v>15</v>
      </c>
      <c r="G89" s="1">
        <v>2</v>
      </c>
      <c r="H89" t="s">
        <v>440</v>
      </c>
      <c r="I89" s="13">
        <v>44424</v>
      </c>
      <c r="J89" s="54">
        <v>669.9</v>
      </c>
      <c r="K89" s="53">
        <v>0.03</v>
      </c>
      <c r="L89" s="68" t="s">
        <v>662</v>
      </c>
      <c r="M89" s="53">
        <v>6.9999999999999965E-2</v>
      </c>
      <c r="N89" s="54">
        <v>93.785999999999945</v>
      </c>
    </row>
    <row r="90" spans="1:14" ht="15.75" customHeight="1" x14ac:dyDescent="0.2">
      <c r="A90" s="56">
        <v>44255</v>
      </c>
      <c r="B90" s="1" t="s">
        <v>281</v>
      </c>
      <c r="C90" s="1" t="s">
        <v>282</v>
      </c>
      <c r="D90" s="1" t="s">
        <v>665</v>
      </c>
      <c r="E90" s="58">
        <v>862</v>
      </c>
      <c r="F90" s="1">
        <v>40</v>
      </c>
      <c r="G90" s="1">
        <v>3</v>
      </c>
      <c r="H90" t="s">
        <v>482</v>
      </c>
      <c r="I90" s="13">
        <v>44274</v>
      </c>
      <c r="J90" s="54">
        <v>948.2</v>
      </c>
      <c r="K90" s="53">
        <v>0</v>
      </c>
      <c r="L90" s="68" t="s">
        <v>664</v>
      </c>
      <c r="M90" s="53">
        <v>0.10000000000000005</v>
      </c>
      <c r="N90" s="54">
        <v>284.46000000000015</v>
      </c>
    </row>
    <row r="91" spans="1:14" ht="15.75" customHeight="1" x14ac:dyDescent="0.2">
      <c r="A91" s="56">
        <v>44212</v>
      </c>
      <c r="B91" s="1" t="s">
        <v>203</v>
      </c>
      <c r="C91" s="1" t="s">
        <v>204</v>
      </c>
      <c r="D91" s="1" t="s">
        <v>667</v>
      </c>
      <c r="E91" s="58">
        <v>1559</v>
      </c>
      <c r="F91" s="1">
        <v>35</v>
      </c>
      <c r="G91" s="1">
        <v>2</v>
      </c>
      <c r="H91" t="s">
        <v>536</v>
      </c>
      <c r="I91" s="13">
        <v>44231</v>
      </c>
      <c r="J91" s="54">
        <v>1714.9</v>
      </c>
      <c r="K91" s="53">
        <v>0</v>
      </c>
      <c r="L91" s="68" t="s">
        <v>666</v>
      </c>
      <c r="M91" s="53">
        <v>0.10000000000000006</v>
      </c>
      <c r="N91" s="54">
        <v>342.98000000000025</v>
      </c>
    </row>
    <row r="92" spans="1:14" ht="15.75" customHeight="1" x14ac:dyDescent="0.2">
      <c r="A92" s="56">
        <v>44533</v>
      </c>
      <c r="B92" s="1" t="s">
        <v>165</v>
      </c>
      <c r="C92" s="1" t="s">
        <v>166</v>
      </c>
      <c r="D92" s="1" t="s">
        <v>669</v>
      </c>
      <c r="E92" s="58">
        <v>1599</v>
      </c>
      <c r="F92" s="1">
        <v>9</v>
      </c>
      <c r="G92" s="1">
        <v>3</v>
      </c>
      <c r="H92" t="s">
        <v>544</v>
      </c>
      <c r="I92" s="13">
        <v>44542</v>
      </c>
      <c r="J92" s="54">
        <v>1758.9</v>
      </c>
      <c r="K92" s="53">
        <v>0</v>
      </c>
      <c r="L92" s="68" t="s">
        <v>668</v>
      </c>
      <c r="M92" s="53">
        <v>0.10000000000000006</v>
      </c>
      <c r="N92" s="54">
        <v>527.6700000000003</v>
      </c>
    </row>
    <row r="93" spans="1:14" ht="15.75" customHeight="1" x14ac:dyDescent="0.2">
      <c r="A93" s="56">
        <v>44271</v>
      </c>
      <c r="B93" s="1" t="s">
        <v>99</v>
      </c>
      <c r="C93" s="1" t="s">
        <v>100</v>
      </c>
      <c r="D93" s="1" t="s">
        <v>671</v>
      </c>
      <c r="E93" s="58">
        <v>2999</v>
      </c>
      <c r="F93" s="1">
        <v>13</v>
      </c>
      <c r="G93" s="1">
        <v>1</v>
      </c>
      <c r="H93" t="s">
        <v>586</v>
      </c>
      <c r="I93" s="13">
        <v>44306</v>
      </c>
      <c r="J93" s="54">
        <v>3298.9</v>
      </c>
      <c r="K93" s="53">
        <v>0</v>
      </c>
      <c r="L93" s="68" t="s">
        <v>670</v>
      </c>
      <c r="M93" s="53">
        <v>0.10000000000000003</v>
      </c>
      <c r="N93" s="54">
        <v>329.8900000000001</v>
      </c>
    </row>
    <row r="94" spans="1:14" ht="15.75" customHeight="1" x14ac:dyDescent="0.2">
      <c r="A94" s="56">
        <v>44379</v>
      </c>
      <c r="B94" s="1" t="s">
        <v>117</v>
      </c>
      <c r="C94" s="1" t="s">
        <v>118</v>
      </c>
      <c r="D94" s="1" t="s">
        <v>673</v>
      </c>
      <c r="E94" s="58">
        <v>4225</v>
      </c>
      <c r="F94" s="1">
        <v>44</v>
      </c>
      <c r="G94" s="1">
        <v>1</v>
      </c>
      <c r="H94" t="s">
        <v>547</v>
      </c>
      <c r="I94" s="13">
        <v>44469</v>
      </c>
      <c r="J94" s="54">
        <v>4647.5</v>
      </c>
      <c r="K94" s="53">
        <v>0</v>
      </c>
      <c r="L94" s="68" t="s">
        <v>672</v>
      </c>
      <c r="M94" s="53">
        <v>0.1</v>
      </c>
      <c r="N94" s="54">
        <v>464.75</v>
      </c>
    </row>
    <row r="95" spans="1:14" ht="15.75" customHeight="1" x14ac:dyDescent="0.2">
      <c r="A95" s="56">
        <v>44532</v>
      </c>
      <c r="B95" s="1" t="s">
        <v>153</v>
      </c>
      <c r="C95" s="1" t="s">
        <v>154</v>
      </c>
      <c r="D95" s="1" t="s">
        <v>675</v>
      </c>
      <c r="E95" s="58">
        <v>1699</v>
      </c>
      <c r="F95" s="1">
        <v>27</v>
      </c>
      <c r="G95" s="1">
        <v>2</v>
      </c>
      <c r="H95" t="s">
        <v>465</v>
      </c>
      <c r="I95" s="13">
        <v>44537</v>
      </c>
      <c r="J95" s="54">
        <v>1868.9</v>
      </c>
      <c r="K95" s="53">
        <v>0.03</v>
      </c>
      <c r="L95" s="68" t="s">
        <v>674</v>
      </c>
      <c r="M95" s="53">
        <v>7.0000000000000048E-2</v>
      </c>
      <c r="N95" s="54">
        <v>261.64600000000024</v>
      </c>
    </row>
    <row r="96" spans="1:14" ht="15.75" customHeight="1" x14ac:dyDescent="0.2">
      <c r="A96" s="56">
        <v>44291</v>
      </c>
      <c r="B96" s="1" t="s">
        <v>95</v>
      </c>
      <c r="C96" s="1" t="s">
        <v>96</v>
      </c>
      <c r="D96" s="1" t="s">
        <v>677</v>
      </c>
      <c r="E96" s="58">
        <v>1849</v>
      </c>
      <c r="F96" s="1">
        <v>12</v>
      </c>
      <c r="G96" s="1">
        <v>2</v>
      </c>
      <c r="H96" t="s">
        <v>528</v>
      </c>
      <c r="I96" s="13">
        <v>44343</v>
      </c>
      <c r="J96" s="54">
        <v>2033.9</v>
      </c>
      <c r="K96" s="53">
        <v>0.02</v>
      </c>
      <c r="L96" s="68" t="s">
        <v>676</v>
      </c>
      <c r="M96" s="53">
        <v>8.0000000000000043E-2</v>
      </c>
      <c r="N96" s="54">
        <v>325.42400000000021</v>
      </c>
    </row>
    <row r="97" spans="1:14" ht="15.75" customHeight="1" x14ac:dyDescent="0.2">
      <c r="A97" s="56">
        <v>44332</v>
      </c>
      <c r="B97" s="1" t="s">
        <v>65</v>
      </c>
      <c r="C97" s="1" t="s">
        <v>66</v>
      </c>
      <c r="D97" s="1" t="s">
        <v>679</v>
      </c>
      <c r="E97" s="58">
        <v>4799</v>
      </c>
      <c r="F97" s="1">
        <v>11</v>
      </c>
      <c r="G97" s="1">
        <v>1</v>
      </c>
      <c r="H97" t="s">
        <v>510</v>
      </c>
      <c r="I97" s="13">
        <v>44432</v>
      </c>
      <c r="J97" s="54">
        <v>5278.9</v>
      </c>
      <c r="K97" s="53">
        <v>0</v>
      </c>
      <c r="L97" s="68" t="s">
        <v>678</v>
      </c>
      <c r="M97" s="53">
        <v>9.9999999999999922E-2</v>
      </c>
      <c r="N97" s="54">
        <v>527.88999999999953</v>
      </c>
    </row>
    <row r="98" spans="1:14" ht="15.75" customHeight="1" x14ac:dyDescent="0.2">
      <c r="A98" s="56">
        <v>44414</v>
      </c>
      <c r="B98" s="1" t="s">
        <v>121</v>
      </c>
      <c r="C98" s="1" t="s">
        <v>122</v>
      </c>
      <c r="D98" s="1" t="s">
        <v>681</v>
      </c>
      <c r="E98" s="58">
        <v>3059</v>
      </c>
      <c r="F98" s="1">
        <v>21</v>
      </c>
      <c r="G98" s="1">
        <v>1</v>
      </c>
      <c r="H98" t="s">
        <v>454</v>
      </c>
      <c r="I98" s="13">
        <v>44467</v>
      </c>
      <c r="J98" s="54">
        <v>3364.9</v>
      </c>
      <c r="K98" s="53">
        <v>0</v>
      </c>
      <c r="L98" s="68" t="s">
        <v>680</v>
      </c>
      <c r="M98" s="53">
        <v>0.10000000000000003</v>
      </c>
      <c r="N98" s="54">
        <v>336.49000000000012</v>
      </c>
    </row>
    <row r="99" spans="1:14" ht="15.75" customHeight="1" x14ac:dyDescent="0.2">
      <c r="A99" s="56">
        <v>44527</v>
      </c>
      <c r="B99" s="1" t="s">
        <v>79</v>
      </c>
      <c r="C99" s="1" t="s">
        <v>80</v>
      </c>
      <c r="D99" s="1" t="s">
        <v>683</v>
      </c>
      <c r="E99" s="58">
        <v>610</v>
      </c>
      <c r="F99" s="1">
        <v>28</v>
      </c>
      <c r="G99" s="1">
        <v>3</v>
      </c>
      <c r="H99" t="s">
        <v>560</v>
      </c>
      <c r="I99" s="13">
        <v>44536</v>
      </c>
      <c r="J99" s="54">
        <v>671</v>
      </c>
      <c r="K99" s="53">
        <v>0</v>
      </c>
      <c r="L99" s="68" t="s">
        <v>682</v>
      </c>
      <c r="M99" s="53">
        <v>0.1</v>
      </c>
      <c r="N99" s="54">
        <v>201.3</v>
      </c>
    </row>
    <row r="100" spans="1:14" ht="15.75" customHeight="1" x14ac:dyDescent="0.2">
      <c r="A100" s="56">
        <v>44236</v>
      </c>
      <c r="B100" s="1" t="s">
        <v>87</v>
      </c>
      <c r="C100" s="1" t="s">
        <v>88</v>
      </c>
      <c r="D100" s="1" t="s">
        <v>685</v>
      </c>
      <c r="E100" s="58">
        <v>10648</v>
      </c>
      <c r="F100" s="1">
        <v>22</v>
      </c>
      <c r="G100" s="1">
        <v>1</v>
      </c>
      <c r="H100" t="s">
        <v>516</v>
      </c>
      <c r="I100" s="13">
        <v>44243</v>
      </c>
      <c r="J100" s="54">
        <v>11712.8</v>
      </c>
      <c r="K100" s="53">
        <v>0</v>
      </c>
      <c r="L100" s="68" t="s">
        <v>684</v>
      </c>
      <c r="M100" s="53">
        <v>9.9999999999999936E-2</v>
      </c>
      <c r="N100" s="54">
        <v>1171.2799999999991</v>
      </c>
    </row>
    <row r="101" spans="1:14" ht="15.75" customHeight="1" x14ac:dyDescent="0.2">
      <c r="A101" s="56">
        <v>44551</v>
      </c>
      <c r="B101" s="1" t="s">
        <v>33</v>
      </c>
      <c r="C101" s="1" t="s">
        <v>34</v>
      </c>
      <c r="D101" s="1" t="s">
        <v>729</v>
      </c>
      <c r="E101" s="58">
        <v>647.99</v>
      </c>
      <c r="F101" s="1">
        <v>17</v>
      </c>
      <c r="G101" s="1">
        <v>1</v>
      </c>
      <c r="I101" s="13">
        <v>45109</v>
      </c>
      <c r="J101" s="54">
        <v>712.78899999999999</v>
      </c>
      <c r="K101" s="53">
        <v>0</v>
      </c>
      <c r="L101" s="68" t="s">
        <v>728</v>
      </c>
      <c r="M101" s="53">
        <v>9.9999999999999964E-2</v>
      </c>
      <c r="N101" s="54">
        <v>71.278899999999979</v>
      </c>
    </row>
    <row r="102" spans="1:14" ht="15.75" customHeight="1" x14ac:dyDescent="0.2"/>
    <row r="103" spans="1:14" ht="15.75" customHeight="1" x14ac:dyDescent="0.2">
      <c r="A103"/>
      <c r="I103"/>
    </row>
    <row r="104" spans="1:14" ht="15.75" customHeight="1" x14ac:dyDescent="0.2">
      <c r="A104" s="56"/>
      <c r="B104" s="1"/>
      <c r="C104" s="1"/>
      <c r="D104" s="1"/>
      <c r="E104" s="58"/>
      <c r="F104" s="1"/>
      <c r="G104" s="1"/>
    </row>
    <row r="105" spans="1:14" ht="15.75" customHeight="1" x14ac:dyDescent="0.2">
      <c r="A105" s="56"/>
      <c r="B105" s="1"/>
      <c r="C105" s="1"/>
      <c r="D105" s="1"/>
      <c r="E105" s="58"/>
      <c r="F105" s="1"/>
      <c r="G105" s="1"/>
    </row>
    <row r="106" spans="1:14" ht="15.75" customHeight="1" x14ac:dyDescent="0.2">
      <c r="A106" s="56"/>
      <c r="B106" s="1"/>
      <c r="C106" s="1"/>
      <c r="D106" s="1"/>
      <c r="E106" s="58"/>
      <c r="F106" s="1"/>
      <c r="G106" s="1"/>
    </row>
    <row r="107" spans="1:14" ht="15.75" customHeight="1" x14ac:dyDescent="0.2">
      <c r="A107" s="56"/>
      <c r="B107" s="1"/>
      <c r="C107" s="1"/>
      <c r="D107" s="1"/>
      <c r="E107" s="58"/>
      <c r="F107" s="1"/>
      <c r="G107" s="1"/>
    </row>
    <row r="108" spans="1:14" ht="15.75" customHeight="1" x14ac:dyDescent="0.2">
      <c r="A108" s="56"/>
      <c r="B108" s="1"/>
      <c r="C108" s="1"/>
      <c r="D108" s="1"/>
      <c r="E108" s="58"/>
      <c r="F108" s="1"/>
      <c r="G108" s="1"/>
    </row>
    <row r="109" spans="1:14" ht="15.75" customHeight="1" x14ac:dyDescent="0.2">
      <c r="A109" s="56"/>
      <c r="B109" s="1"/>
      <c r="C109" s="1"/>
      <c r="D109" s="1"/>
      <c r="E109" s="58"/>
      <c r="F109" s="1"/>
      <c r="G109" s="1"/>
    </row>
    <row r="110" spans="1:14" ht="15.75" customHeight="1" x14ac:dyDescent="0.2">
      <c r="A110" s="56"/>
      <c r="B110" s="1"/>
      <c r="C110" s="1"/>
      <c r="D110" s="1"/>
      <c r="E110" s="58"/>
      <c r="F110" s="1"/>
      <c r="G110" s="1"/>
    </row>
    <row r="111" spans="1:14" ht="15.75" customHeight="1" x14ac:dyDescent="0.2">
      <c r="A111" s="56"/>
      <c r="B111" s="1"/>
      <c r="C111" s="1"/>
      <c r="D111" s="1"/>
      <c r="E111" s="58"/>
      <c r="F111" s="1"/>
      <c r="G111" s="1"/>
    </row>
    <row r="112" spans="1:14" ht="15.75" customHeight="1" x14ac:dyDescent="0.2">
      <c r="A112" s="56"/>
      <c r="B112" s="1"/>
      <c r="C112" s="1"/>
      <c r="D112" s="1"/>
      <c r="E112" s="58"/>
      <c r="F112" s="1"/>
      <c r="G112" s="1"/>
    </row>
    <row r="113" spans="1:7" ht="15.75" customHeight="1" x14ac:dyDescent="0.2">
      <c r="A113" s="56"/>
      <c r="B113" s="1"/>
      <c r="C113" s="1"/>
      <c r="D113" s="1"/>
      <c r="E113" s="58"/>
      <c r="F113" s="1"/>
      <c r="G113" s="1"/>
    </row>
    <row r="114" spans="1:7" ht="15.75" customHeight="1" x14ac:dyDescent="0.2">
      <c r="A114" s="56"/>
      <c r="B114" s="1"/>
      <c r="C114" s="1"/>
      <c r="D114" s="1"/>
      <c r="E114" s="58"/>
      <c r="F114" s="1"/>
      <c r="G114" s="1"/>
    </row>
    <row r="115" spans="1:7" ht="15.75" customHeight="1" x14ac:dyDescent="0.2">
      <c r="A115" s="56"/>
      <c r="B115" s="1"/>
      <c r="C115" s="1"/>
      <c r="D115" s="1"/>
      <c r="E115" s="58"/>
      <c r="F115" s="1"/>
      <c r="G115" s="1"/>
    </row>
    <row r="116" spans="1:7" ht="15.75" customHeight="1" x14ac:dyDescent="0.2">
      <c r="A116" s="56"/>
      <c r="B116" s="1"/>
      <c r="C116" s="1"/>
      <c r="D116" s="1"/>
      <c r="E116" s="58"/>
      <c r="F116" s="1"/>
      <c r="G116" s="1"/>
    </row>
    <row r="117" spans="1:7" ht="15.75" customHeight="1" x14ac:dyDescent="0.2">
      <c r="A117" s="56"/>
      <c r="B117" s="1"/>
      <c r="C117" s="1"/>
      <c r="D117" s="1"/>
      <c r="E117" s="58"/>
      <c r="F117" s="1"/>
      <c r="G117" s="1"/>
    </row>
    <row r="118" spans="1:7" ht="15.75" customHeight="1" x14ac:dyDescent="0.2">
      <c r="A118" s="56"/>
      <c r="B118" s="1"/>
      <c r="C118" s="1"/>
      <c r="D118" s="1"/>
      <c r="E118" s="58"/>
      <c r="F118" s="1"/>
      <c r="G118" s="1"/>
    </row>
    <row r="119" spans="1:7" ht="15.75" customHeight="1" x14ac:dyDescent="0.2">
      <c r="A119" s="56"/>
      <c r="B119" s="1"/>
      <c r="C119" s="1"/>
      <c r="D119" s="1"/>
      <c r="E119" s="58"/>
      <c r="F119" s="1"/>
      <c r="G119" s="1"/>
    </row>
    <row r="120" spans="1:7" ht="15.75" customHeight="1" x14ac:dyDescent="0.2">
      <c r="A120" s="56"/>
      <c r="B120" s="1"/>
      <c r="C120" s="1"/>
      <c r="D120" s="1"/>
      <c r="E120" s="58"/>
      <c r="F120" s="1"/>
      <c r="G120" s="1"/>
    </row>
    <row r="121" spans="1:7" ht="15.75" customHeight="1" x14ac:dyDescent="0.2">
      <c r="A121" s="56"/>
      <c r="B121" s="1"/>
      <c r="C121" s="1"/>
      <c r="D121" s="1"/>
      <c r="E121" s="58"/>
      <c r="F121" s="1"/>
      <c r="G121" s="1"/>
    </row>
    <row r="122" spans="1:7" ht="15.75" customHeight="1" x14ac:dyDescent="0.2">
      <c r="A122" s="56"/>
      <c r="B122" s="1"/>
      <c r="C122" s="1"/>
      <c r="D122" s="1"/>
      <c r="E122" s="58"/>
      <c r="F122" s="1"/>
      <c r="G122" s="1"/>
    </row>
    <row r="123" spans="1:7" ht="15.75" customHeight="1" x14ac:dyDescent="0.2">
      <c r="A123" s="56"/>
      <c r="B123" s="1"/>
      <c r="C123" s="1"/>
      <c r="D123" s="1"/>
      <c r="E123" s="58"/>
      <c r="F123" s="1"/>
      <c r="G123" s="1"/>
    </row>
    <row r="124" spans="1:7" ht="15.75" customHeight="1" x14ac:dyDescent="0.2">
      <c r="A124" s="56"/>
      <c r="B124" s="1"/>
      <c r="C124" s="1"/>
      <c r="D124" s="1"/>
      <c r="E124" s="58"/>
      <c r="F124" s="1"/>
      <c r="G124" s="1"/>
    </row>
    <row r="125" spans="1:7" ht="15.75" customHeight="1" x14ac:dyDescent="0.2">
      <c r="A125" s="56"/>
      <c r="B125" s="1"/>
      <c r="C125" s="1"/>
      <c r="D125" s="1"/>
      <c r="E125" s="58"/>
      <c r="F125" s="1"/>
      <c r="G125" s="1"/>
    </row>
    <row r="126" spans="1:7" ht="15.75" customHeight="1" x14ac:dyDescent="0.2">
      <c r="A126" s="56"/>
      <c r="B126" s="1"/>
      <c r="C126" s="1"/>
      <c r="D126" s="1"/>
      <c r="E126" s="58"/>
      <c r="F126" s="1"/>
      <c r="G126" s="1"/>
    </row>
    <row r="127" spans="1:7" ht="15.75" customHeight="1" x14ac:dyDescent="0.2">
      <c r="A127" s="56"/>
      <c r="B127" s="1"/>
      <c r="C127" s="1"/>
      <c r="D127" s="1"/>
      <c r="E127" s="58"/>
      <c r="F127" s="1"/>
      <c r="G127" s="1"/>
    </row>
    <row r="128" spans="1:7" ht="15.75" customHeight="1" x14ac:dyDescent="0.2">
      <c r="A128" s="56"/>
      <c r="B128" s="1"/>
      <c r="C128" s="1"/>
      <c r="D128" s="1"/>
      <c r="E128" s="58"/>
      <c r="F128" s="1"/>
      <c r="G128" s="1"/>
    </row>
    <row r="129" spans="1:7" ht="15.75" customHeight="1" x14ac:dyDescent="0.2">
      <c r="A129" s="56"/>
      <c r="B129" s="1"/>
      <c r="C129" s="1"/>
      <c r="D129" s="1"/>
      <c r="E129" s="58"/>
      <c r="F129" s="1"/>
      <c r="G129" s="1"/>
    </row>
    <row r="130" spans="1:7" ht="15.75" customHeight="1" x14ac:dyDescent="0.2">
      <c r="A130" s="56"/>
      <c r="B130" s="1"/>
      <c r="C130" s="1"/>
      <c r="D130" s="1"/>
      <c r="E130" s="58"/>
      <c r="F130" s="1"/>
      <c r="G130" s="1"/>
    </row>
    <row r="131" spans="1:7" ht="15.75" customHeight="1" x14ac:dyDescent="0.2">
      <c r="A131" s="56"/>
      <c r="B131" s="1"/>
      <c r="C131" s="1"/>
      <c r="D131" s="1"/>
      <c r="E131" s="58"/>
      <c r="F131" s="1"/>
      <c r="G131" s="1"/>
    </row>
    <row r="132" spans="1:7" ht="15.75" customHeight="1" x14ac:dyDescent="0.2">
      <c r="A132" s="56"/>
      <c r="B132" s="1"/>
      <c r="C132" s="1"/>
      <c r="D132" s="1"/>
      <c r="E132" s="58"/>
      <c r="F132" s="1"/>
      <c r="G132" s="1"/>
    </row>
    <row r="133" spans="1:7" ht="15.75" customHeight="1" x14ac:dyDescent="0.2">
      <c r="A133" s="56"/>
      <c r="B133" s="1"/>
      <c r="C133" s="1"/>
      <c r="D133" s="1"/>
      <c r="E133" s="58"/>
      <c r="F133" s="1"/>
      <c r="G133" s="1"/>
    </row>
    <row r="134" spans="1:7" ht="15.75" customHeight="1" x14ac:dyDescent="0.2">
      <c r="A134" s="56"/>
      <c r="B134" s="1"/>
      <c r="C134" s="1"/>
      <c r="D134" s="1"/>
      <c r="E134" s="58"/>
      <c r="F134" s="1"/>
      <c r="G134" s="1"/>
    </row>
    <row r="135" spans="1:7" ht="15.75" customHeight="1" x14ac:dyDescent="0.2">
      <c r="A135" s="56"/>
      <c r="B135" s="1"/>
      <c r="C135" s="1"/>
      <c r="D135" s="1"/>
      <c r="E135" s="58"/>
      <c r="F135" s="1"/>
      <c r="G135" s="1"/>
    </row>
    <row r="136" spans="1:7" ht="15.75" customHeight="1" x14ac:dyDescent="0.2">
      <c r="A136" s="56"/>
      <c r="B136" s="1"/>
      <c r="C136" s="1"/>
      <c r="D136" s="1"/>
      <c r="E136" s="58"/>
      <c r="F136" s="1"/>
      <c r="G136" s="1"/>
    </row>
    <row r="137" spans="1:7" ht="15.75" customHeight="1" x14ac:dyDescent="0.2">
      <c r="A137" s="56"/>
      <c r="B137" s="1"/>
      <c r="C137" s="1"/>
      <c r="D137" s="1"/>
      <c r="E137" s="58"/>
      <c r="F137" s="1"/>
      <c r="G137" s="1"/>
    </row>
    <row r="138" spans="1:7" ht="15.75" customHeight="1" x14ac:dyDescent="0.2">
      <c r="A138" s="56"/>
      <c r="B138" s="1"/>
      <c r="C138" s="1"/>
      <c r="D138" s="1"/>
      <c r="E138" s="58"/>
      <c r="F138" s="1"/>
      <c r="G138" s="1"/>
    </row>
    <row r="139" spans="1:7" ht="15.75" customHeight="1" x14ac:dyDescent="0.2">
      <c r="A139" s="56"/>
      <c r="B139" s="1"/>
      <c r="C139" s="1"/>
      <c r="D139" s="1"/>
      <c r="E139" s="58"/>
      <c r="F139" s="1"/>
      <c r="G139" s="1"/>
    </row>
    <row r="140" spans="1:7" ht="15.75" customHeight="1" x14ac:dyDescent="0.2">
      <c r="A140" s="56"/>
      <c r="B140" s="1"/>
      <c r="C140" s="1"/>
      <c r="D140" s="1"/>
      <c r="E140" s="58"/>
      <c r="F140" s="1"/>
      <c r="G140" s="1"/>
    </row>
    <row r="141" spans="1:7" ht="15.75" customHeight="1" x14ac:dyDescent="0.2">
      <c r="A141" s="56"/>
      <c r="B141" s="1"/>
      <c r="C141" s="1"/>
      <c r="D141" s="1"/>
      <c r="E141" s="58"/>
      <c r="F141" s="1"/>
      <c r="G141" s="1"/>
    </row>
    <row r="142" spans="1:7" ht="15.75" customHeight="1" x14ac:dyDescent="0.2">
      <c r="A142" s="56"/>
      <c r="B142" s="1"/>
      <c r="C142" s="1"/>
      <c r="D142" s="1"/>
      <c r="E142" s="58"/>
      <c r="F142" s="1"/>
      <c r="G142" s="1"/>
    </row>
    <row r="143" spans="1:7" ht="15.75" customHeight="1" x14ac:dyDescent="0.2">
      <c r="A143" s="56"/>
      <c r="B143" s="1"/>
      <c r="C143" s="1"/>
      <c r="D143" s="1"/>
      <c r="E143" s="58"/>
      <c r="F143" s="1"/>
      <c r="G143" s="1"/>
    </row>
    <row r="144" spans="1:7" ht="15.75" customHeight="1" x14ac:dyDescent="0.2">
      <c r="A144" s="56"/>
      <c r="B144" s="1"/>
      <c r="C144" s="1"/>
      <c r="D144" s="1"/>
      <c r="E144" s="58"/>
      <c r="F144" s="1"/>
      <c r="G144" s="1"/>
    </row>
    <row r="145" spans="1:7" ht="15.75" customHeight="1" x14ac:dyDescent="0.2">
      <c r="A145" s="56"/>
      <c r="B145" s="1"/>
      <c r="C145" s="1"/>
      <c r="D145" s="1"/>
      <c r="E145" s="58"/>
      <c r="F145" s="1"/>
      <c r="G145" s="1"/>
    </row>
    <row r="146" spans="1:7" ht="15.75" customHeight="1" x14ac:dyDescent="0.2">
      <c r="A146" s="56"/>
      <c r="B146" s="1"/>
      <c r="C146" s="1"/>
      <c r="D146" s="1"/>
      <c r="E146" s="58"/>
      <c r="F146" s="1"/>
      <c r="G146" s="1"/>
    </row>
    <row r="147" spans="1:7" ht="15.75" customHeight="1" x14ac:dyDescent="0.2">
      <c r="A147" s="56"/>
      <c r="B147" s="1"/>
      <c r="C147" s="1"/>
      <c r="D147" s="1"/>
      <c r="E147" s="58"/>
      <c r="F147" s="1"/>
      <c r="G147" s="1"/>
    </row>
    <row r="148" spans="1:7" ht="15.75" customHeight="1" x14ac:dyDescent="0.2">
      <c r="A148" s="56"/>
      <c r="B148" s="1"/>
      <c r="C148" s="1"/>
      <c r="D148" s="1"/>
      <c r="E148" s="58"/>
      <c r="F148" s="1"/>
      <c r="G148" s="1"/>
    </row>
    <row r="149" spans="1:7" ht="15.75" customHeight="1" x14ac:dyDescent="0.2">
      <c r="A149" s="56"/>
      <c r="B149" s="1"/>
      <c r="C149" s="1"/>
      <c r="D149" s="1"/>
      <c r="E149" s="58"/>
      <c r="F149" s="1"/>
      <c r="G149" s="1"/>
    </row>
    <row r="150" spans="1:7" ht="15.75" customHeight="1" x14ac:dyDescent="0.2">
      <c r="A150" s="56"/>
      <c r="B150" s="1"/>
      <c r="C150" s="1"/>
      <c r="D150" s="1"/>
      <c r="E150" s="58"/>
      <c r="F150" s="1"/>
      <c r="G150" s="1"/>
    </row>
    <row r="151" spans="1:7" ht="15.75" customHeight="1" x14ac:dyDescent="0.2">
      <c r="A151" s="56"/>
      <c r="B151" s="1"/>
      <c r="C151" s="1"/>
      <c r="D151" s="1"/>
      <c r="E151" s="58"/>
      <c r="F151" s="1"/>
      <c r="G151" s="1"/>
    </row>
    <row r="152" spans="1:7" ht="15.75" customHeight="1" x14ac:dyDescent="0.2">
      <c r="A152" s="56"/>
      <c r="B152" s="1"/>
      <c r="C152" s="1"/>
      <c r="D152" s="1"/>
      <c r="E152" s="58"/>
      <c r="F152" s="1"/>
      <c r="G152" s="1"/>
    </row>
    <row r="153" spans="1:7" ht="15.75" customHeight="1" x14ac:dyDescent="0.2">
      <c r="A153" s="56"/>
      <c r="B153" s="1"/>
      <c r="C153" s="1"/>
      <c r="D153" s="1"/>
      <c r="E153" s="58"/>
      <c r="F153" s="1"/>
      <c r="G153" s="1"/>
    </row>
    <row r="154" spans="1:7" ht="15.75" customHeight="1" x14ac:dyDescent="0.2">
      <c r="A154" s="56"/>
      <c r="B154" s="1"/>
      <c r="C154" s="1"/>
      <c r="D154" s="1"/>
      <c r="E154" s="58"/>
      <c r="F154" s="1"/>
      <c r="G154" s="1"/>
    </row>
    <row r="155" spans="1:7" ht="15.75" customHeight="1" x14ac:dyDescent="0.2">
      <c r="A155" s="56"/>
      <c r="B155" s="1"/>
      <c r="C155" s="1"/>
      <c r="D155" s="1"/>
      <c r="E155" s="58"/>
      <c r="F155" s="1"/>
      <c r="G155" s="1"/>
    </row>
    <row r="156" spans="1:7" ht="15.75" customHeight="1" x14ac:dyDescent="0.2">
      <c r="A156" s="56"/>
      <c r="B156" s="1"/>
      <c r="C156" s="1"/>
      <c r="D156" s="1"/>
      <c r="E156" s="58"/>
      <c r="F156" s="1"/>
      <c r="G156" s="1"/>
    </row>
    <row r="157" spans="1:7" ht="15.75" customHeight="1" x14ac:dyDescent="0.2">
      <c r="A157" s="56"/>
      <c r="B157" s="1"/>
      <c r="C157" s="1"/>
      <c r="D157" s="1"/>
      <c r="E157" s="58"/>
      <c r="F157" s="1"/>
      <c r="G157" s="1"/>
    </row>
    <row r="158" spans="1:7" ht="15.75" customHeight="1" x14ac:dyDescent="0.2">
      <c r="A158" s="56"/>
      <c r="B158" s="1"/>
      <c r="C158" s="1"/>
      <c r="D158" s="1"/>
      <c r="E158" s="58"/>
      <c r="F158" s="1"/>
      <c r="G158" s="1"/>
    </row>
    <row r="159" spans="1:7" ht="15.75" customHeight="1" x14ac:dyDescent="0.2">
      <c r="A159" s="56"/>
      <c r="B159" s="1"/>
      <c r="C159" s="1"/>
      <c r="D159" s="1"/>
      <c r="E159" s="58"/>
      <c r="F159" s="1"/>
      <c r="G159" s="1"/>
    </row>
    <row r="160" spans="1:7" ht="15.75" customHeight="1" x14ac:dyDescent="0.2">
      <c r="A160" s="56"/>
      <c r="B160" s="1"/>
      <c r="C160" s="1"/>
      <c r="D160" s="1"/>
      <c r="E160" s="58"/>
      <c r="F160" s="1"/>
      <c r="G160" s="1"/>
    </row>
    <row r="161" spans="1:7" ht="15.75" customHeight="1" x14ac:dyDescent="0.2">
      <c r="A161" s="56"/>
      <c r="B161" s="1"/>
      <c r="C161" s="1"/>
      <c r="D161" s="1"/>
      <c r="E161" s="58"/>
      <c r="F161" s="1"/>
      <c r="G161" s="1"/>
    </row>
    <row r="162" spans="1:7" ht="15.75" customHeight="1" x14ac:dyDescent="0.2">
      <c r="A162" s="56"/>
      <c r="B162" s="1"/>
      <c r="C162" s="1"/>
      <c r="D162" s="1"/>
      <c r="E162" s="58"/>
      <c r="F162" s="1"/>
    </row>
    <row r="163" spans="1:7" ht="15.75" customHeight="1" x14ac:dyDescent="0.2">
      <c r="A163" s="56"/>
      <c r="B163" s="1"/>
      <c r="C163" s="1"/>
      <c r="D163" s="1"/>
      <c r="E163" s="58"/>
      <c r="F163" s="1"/>
    </row>
    <row r="164" spans="1:7" ht="15.75" customHeight="1" x14ac:dyDescent="0.2">
      <c r="A164" s="56"/>
      <c r="B164" s="1"/>
      <c r="C164" s="1"/>
      <c r="D164" s="1"/>
      <c r="E164" s="58"/>
      <c r="F164" s="1"/>
    </row>
    <row r="165" spans="1:7" ht="15.75" customHeight="1" x14ac:dyDescent="0.2">
      <c r="A165" s="56"/>
      <c r="B165" s="1"/>
      <c r="C165" s="1"/>
      <c r="D165" s="1"/>
      <c r="E165" s="58"/>
      <c r="F165" s="1"/>
    </row>
    <row r="166" spans="1:7" ht="15.75" customHeight="1" x14ac:dyDescent="0.2">
      <c r="A166" s="56"/>
      <c r="B166" s="1"/>
      <c r="C166" s="1"/>
      <c r="D166" s="1"/>
      <c r="E166" s="58"/>
      <c r="F166" s="1"/>
    </row>
    <row r="167" spans="1:7" ht="15.75" customHeight="1" x14ac:dyDescent="0.2">
      <c r="A167" s="56"/>
      <c r="B167" s="1"/>
      <c r="C167" s="1"/>
      <c r="D167" s="1"/>
      <c r="E167" s="58"/>
      <c r="F167" s="1"/>
    </row>
    <row r="168" spans="1:7" ht="15.75" customHeight="1" x14ac:dyDescent="0.2">
      <c r="A168" s="56"/>
      <c r="B168" s="1"/>
      <c r="C168" s="1"/>
      <c r="D168" s="1"/>
      <c r="E168" s="58"/>
      <c r="F168" s="1"/>
    </row>
    <row r="169" spans="1:7" ht="15.75" customHeight="1" x14ac:dyDescent="0.2">
      <c r="A169" s="56"/>
      <c r="B169" s="1"/>
      <c r="C169" s="1"/>
      <c r="D169" s="1"/>
      <c r="E169" s="58"/>
      <c r="F169" s="1"/>
    </row>
    <row r="170" spans="1:7" ht="15.75" customHeight="1" x14ac:dyDescent="0.2">
      <c r="A170" s="56"/>
      <c r="B170" s="1"/>
      <c r="C170" s="1"/>
      <c r="D170" s="1"/>
      <c r="E170" s="58"/>
      <c r="F170" s="1"/>
    </row>
    <row r="171" spans="1:7" ht="15.75" customHeight="1" x14ac:dyDescent="0.2">
      <c r="A171" s="56"/>
      <c r="B171" s="1"/>
      <c r="C171" s="1"/>
      <c r="D171" s="1"/>
      <c r="E171" s="58"/>
      <c r="F171" s="1"/>
    </row>
    <row r="172" spans="1:7" ht="15.75" customHeight="1" x14ac:dyDescent="0.2">
      <c r="A172" s="56"/>
      <c r="B172" s="1"/>
      <c r="C172" s="1"/>
      <c r="D172" s="1"/>
      <c r="E172" s="58"/>
      <c r="F172" s="1"/>
    </row>
    <row r="173" spans="1:7" ht="15.75" customHeight="1" x14ac:dyDescent="0.2">
      <c r="A173" s="56"/>
      <c r="B173" s="1"/>
      <c r="C173" s="1"/>
      <c r="D173" s="1"/>
      <c r="E173" s="58"/>
      <c r="F173" s="1"/>
    </row>
    <row r="174" spans="1:7" ht="15.75" customHeight="1" x14ac:dyDescent="0.2">
      <c r="A174" s="56"/>
      <c r="B174" s="1"/>
      <c r="C174" s="1"/>
      <c r="D174" s="1"/>
      <c r="E174" s="58"/>
      <c r="F174" s="1"/>
    </row>
    <row r="175" spans="1:7" ht="15.75" customHeight="1" x14ac:dyDescent="0.2">
      <c r="A175" s="56"/>
      <c r="B175" s="1"/>
      <c r="C175" s="1"/>
      <c r="D175" s="1"/>
      <c r="E175" s="58"/>
      <c r="F175" s="1"/>
    </row>
    <row r="176" spans="1:7" ht="15.75" customHeight="1" x14ac:dyDescent="0.2">
      <c r="A176" s="56"/>
      <c r="B176" s="1"/>
      <c r="C176" s="1"/>
      <c r="D176" s="1"/>
      <c r="E176" s="58"/>
      <c r="F176" s="1"/>
    </row>
    <row r="177" spans="1:6" ht="15.75" customHeight="1" x14ac:dyDescent="0.2">
      <c r="A177" s="56"/>
      <c r="B177" s="1"/>
      <c r="C177" s="1"/>
      <c r="D177" s="1"/>
      <c r="E177" s="58"/>
      <c r="F177" s="1"/>
    </row>
    <row r="178" spans="1:6" ht="15.75" customHeight="1" x14ac:dyDescent="0.2">
      <c r="A178" s="56"/>
      <c r="B178" s="1"/>
      <c r="C178" s="1"/>
      <c r="D178" s="1"/>
      <c r="E178" s="58"/>
      <c r="F178" s="1"/>
    </row>
    <row r="179" spans="1:6" ht="15.75" customHeight="1" x14ac:dyDescent="0.2">
      <c r="A179" s="56"/>
      <c r="B179" s="1"/>
      <c r="C179" s="1"/>
      <c r="D179" s="1"/>
      <c r="E179" s="58"/>
      <c r="F179" s="1"/>
    </row>
    <row r="180" spans="1:6" ht="15.75" customHeight="1" x14ac:dyDescent="0.2">
      <c r="A180" s="56"/>
      <c r="B180" s="1"/>
      <c r="C180" s="1"/>
      <c r="D180" s="1"/>
      <c r="E180" s="58"/>
      <c r="F180" s="1"/>
    </row>
    <row r="181" spans="1:6" ht="15.75" customHeight="1" x14ac:dyDescent="0.2">
      <c r="A181" s="56"/>
      <c r="B181" s="1"/>
      <c r="C181" s="1"/>
      <c r="D181" s="1"/>
      <c r="E181" s="58"/>
      <c r="F181" s="1"/>
    </row>
    <row r="182" spans="1:6" ht="15.75" customHeight="1" x14ac:dyDescent="0.2">
      <c r="A182" s="56"/>
      <c r="B182" s="1"/>
      <c r="C182" s="1"/>
      <c r="D182" s="1"/>
      <c r="E182" s="58"/>
      <c r="F182" s="1"/>
    </row>
    <row r="183" spans="1:6" ht="15.75" customHeight="1" x14ac:dyDescent="0.2">
      <c r="A183" s="56"/>
      <c r="B183" s="1"/>
      <c r="C183" s="1"/>
      <c r="D183" s="1"/>
      <c r="E183" s="58"/>
      <c r="F183" s="1"/>
    </row>
    <row r="184" spans="1:6" ht="15.75" customHeight="1" x14ac:dyDescent="0.2">
      <c r="A184" s="56"/>
      <c r="B184" s="1"/>
      <c r="C184" s="1"/>
      <c r="D184" s="1"/>
      <c r="E184" s="58"/>
      <c r="F184" s="1"/>
    </row>
    <row r="185" spans="1:6" ht="15.75" customHeight="1" x14ac:dyDescent="0.2">
      <c r="A185" s="56"/>
      <c r="B185" s="1"/>
      <c r="C185" s="1"/>
      <c r="D185" s="1"/>
      <c r="E185" s="58"/>
      <c r="F185" s="1"/>
    </row>
    <row r="186" spans="1:6" ht="15.75" customHeight="1" x14ac:dyDescent="0.2">
      <c r="A186" s="56"/>
      <c r="B186" s="1"/>
      <c r="C186" s="1"/>
      <c r="D186" s="1"/>
      <c r="E186" s="58"/>
      <c r="F186" s="1"/>
    </row>
    <row r="187" spans="1:6" ht="15.75" customHeight="1" x14ac:dyDescent="0.2">
      <c r="A187" s="56"/>
      <c r="B187" s="1"/>
      <c r="C187" s="1"/>
      <c r="D187" s="1"/>
      <c r="E187" s="58"/>
      <c r="F187" s="1"/>
    </row>
    <row r="188" spans="1:6" ht="15.75" customHeight="1" x14ac:dyDescent="0.2">
      <c r="A188" s="56"/>
      <c r="B188" s="1"/>
      <c r="C188" s="1"/>
      <c r="D188" s="1"/>
      <c r="E188" s="58"/>
      <c r="F188" s="1"/>
    </row>
    <row r="189" spans="1:6" ht="15.75" customHeight="1" x14ac:dyDescent="0.2">
      <c r="A189" s="56"/>
      <c r="B189" s="1"/>
      <c r="C189" s="1"/>
      <c r="D189" s="1"/>
      <c r="E189" s="58"/>
      <c r="F189" s="1"/>
    </row>
    <row r="190" spans="1:6" ht="15.75" customHeight="1" x14ac:dyDescent="0.2">
      <c r="A190" s="56"/>
      <c r="B190" s="1"/>
      <c r="C190" s="1"/>
      <c r="D190" s="1"/>
      <c r="E190" s="58"/>
      <c r="F190" s="1"/>
    </row>
    <row r="191" spans="1:6" ht="15.75" customHeight="1" x14ac:dyDescent="0.2">
      <c r="A191" s="56"/>
      <c r="B191" s="1"/>
      <c r="C191" s="1"/>
      <c r="D191" s="1"/>
      <c r="E191" s="58"/>
      <c r="F191" s="1"/>
    </row>
    <row r="192" spans="1:6" ht="15.75" customHeight="1" x14ac:dyDescent="0.2">
      <c r="A192" s="56"/>
      <c r="B192" s="1"/>
      <c r="C192" s="1"/>
      <c r="D192" s="1"/>
      <c r="E192" s="58"/>
      <c r="F192" s="1"/>
    </row>
    <row r="193" spans="1:6" ht="15.75" customHeight="1" x14ac:dyDescent="0.2">
      <c r="A193" s="56"/>
      <c r="B193" s="1"/>
      <c r="C193" s="1"/>
      <c r="D193" s="1"/>
      <c r="E193" s="58"/>
      <c r="F193" s="1"/>
    </row>
    <row r="194" spans="1:6" ht="15.75" customHeight="1" x14ac:dyDescent="0.2">
      <c r="A194" s="56"/>
      <c r="B194" s="1"/>
      <c r="C194" s="1"/>
      <c r="D194" s="1"/>
      <c r="E194" s="58"/>
      <c r="F194" s="1"/>
    </row>
    <row r="195" spans="1:6" ht="15.75" customHeight="1" x14ac:dyDescent="0.2">
      <c r="A195" s="56"/>
      <c r="B195" s="1"/>
      <c r="C195" s="1"/>
      <c r="D195" s="1"/>
      <c r="E195" s="58"/>
      <c r="F195" s="1"/>
    </row>
    <row r="196" spans="1:6" ht="15.75" customHeight="1" x14ac:dyDescent="0.2">
      <c r="A196" s="56"/>
      <c r="B196" s="1"/>
      <c r="C196" s="1"/>
      <c r="D196" s="1"/>
      <c r="E196" s="58"/>
      <c r="F196" s="1"/>
    </row>
    <row r="197" spans="1:6" ht="15.75" customHeight="1" x14ac:dyDescent="0.2">
      <c r="A197" s="56"/>
      <c r="B197" s="1"/>
      <c r="C197" s="1"/>
      <c r="D197" s="1"/>
      <c r="E197" s="58"/>
      <c r="F197" s="1"/>
    </row>
    <row r="198" spans="1:6" ht="15.75" customHeight="1" x14ac:dyDescent="0.2">
      <c r="A198" s="56"/>
      <c r="B198" s="1"/>
      <c r="C198" s="1"/>
      <c r="D198" s="1"/>
      <c r="E198" s="58"/>
      <c r="F198" s="1"/>
    </row>
    <row r="199" spans="1:6" ht="15.75" customHeight="1" x14ac:dyDescent="0.2">
      <c r="A199" s="56"/>
      <c r="B199" s="1"/>
      <c r="C199" s="1"/>
      <c r="D199" s="1"/>
      <c r="E199" s="58"/>
      <c r="F199" s="1"/>
    </row>
    <row r="200" spans="1:6" ht="15.75" customHeight="1" x14ac:dyDescent="0.2">
      <c r="A200" s="56"/>
      <c r="B200" s="1"/>
      <c r="C200" s="1"/>
      <c r="D200" s="1"/>
      <c r="E200" s="58"/>
      <c r="F200" s="1"/>
    </row>
    <row r="201" spans="1:6" ht="15.75" customHeight="1" x14ac:dyDescent="0.2">
      <c r="A201" s="56"/>
      <c r="B201" s="1"/>
      <c r="C201" s="1"/>
      <c r="D201" s="1"/>
      <c r="E201" s="58"/>
      <c r="F201" s="1"/>
    </row>
    <row r="202" spans="1:6" ht="15.75" customHeight="1" x14ac:dyDescent="0.2">
      <c r="A202" s="56"/>
      <c r="B202" s="1"/>
      <c r="C202" s="1"/>
      <c r="D202" s="1"/>
      <c r="E202" s="58"/>
      <c r="F202" s="1"/>
    </row>
    <row r="203" spans="1:6" ht="15.75" customHeight="1" x14ac:dyDescent="0.2">
      <c r="A203" s="56"/>
      <c r="B203" s="1"/>
      <c r="C203" s="1"/>
      <c r="D203" s="1"/>
      <c r="E203" s="58"/>
      <c r="F203" s="1"/>
    </row>
    <row r="204" spans="1:6" ht="15.75" customHeight="1" x14ac:dyDescent="0.2">
      <c r="A204" s="56"/>
      <c r="B204" s="1"/>
      <c r="C204" s="1"/>
      <c r="D204" s="1"/>
      <c r="E204" s="58"/>
      <c r="F204" s="1"/>
    </row>
    <row r="205" spans="1:6" ht="15.75" customHeight="1" x14ac:dyDescent="0.2">
      <c r="A205" s="56"/>
      <c r="B205" s="1"/>
      <c r="C205" s="1"/>
      <c r="D205" s="1"/>
      <c r="E205" s="58"/>
      <c r="F205" s="1"/>
    </row>
    <row r="206" spans="1:6" ht="15.75" customHeight="1" x14ac:dyDescent="0.2">
      <c r="A206" s="56"/>
      <c r="B206" s="1"/>
      <c r="C206" s="1"/>
      <c r="D206" s="1"/>
      <c r="E206" s="58"/>
      <c r="F206" s="1"/>
    </row>
    <row r="207" spans="1:6" ht="15.75" customHeight="1" x14ac:dyDescent="0.2">
      <c r="A207" s="56"/>
      <c r="B207" s="1"/>
      <c r="C207" s="1"/>
      <c r="D207" s="1"/>
      <c r="E207" s="58"/>
      <c r="F207" s="1"/>
    </row>
    <row r="208" spans="1:6" ht="15.75" customHeight="1" x14ac:dyDescent="0.2">
      <c r="A208" s="56"/>
      <c r="B208" s="1"/>
      <c r="C208" s="1"/>
      <c r="D208" s="1"/>
      <c r="E208" s="58"/>
      <c r="F208" s="1"/>
    </row>
    <row r="209" spans="1:6" ht="15.75" customHeight="1" x14ac:dyDescent="0.2">
      <c r="A209" s="56"/>
      <c r="B209" s="1"/>
      <c r="C209" s="1"/>
      <c r="D209" s="1"/>
      <c r="E209" s="58"/>
      <c r="F209" s="1"/>
    </row>
    <row r="210" spans="1:6" ht="15.75" customHeight="1" x14ac:dyDescent="0.2">
      <c r="A210" s="56"/>
      <c r="B210" s="1"/>
      <c r="C210" s="1"/>
      <c r="D210" s="1"/>
      <c r="E210" s="58"/>
      <c r="F210" s="1"/>
    </row>
    <row r="211" spans="1:6" ht="15.75" customHeight="1" x14ac:dyDescent="0.2">
      <c r="A211" s="56"/>
      <c r="B211" s="1"/>
      <c r="C211" s="1"/>
      <c r="D211" s="1"/>
      <c r="E211" s="58"/>
      <c r="F211" s="1"/>
    </row>
    <row r="212" spans="1:6" ht="15.75" customHeight="1" x14ac:dyDescent="0.2">
      <c r="A212" s="56"/>
      <c r="B212" s="1"/>
      <c r="C212" s="1"/>
      <c r="D212" s="1"/>
      <c r="E212" s="58"/>
      <c r="F212" s="1"/>
    </row>
    <row r="213" spans="1:6" ht="15.75" customHeight="1" x14ac:dyDescent="0.2">
      <c r="A213" s="56"/>
      <c r="B213" s="1"/>
      <c r="C213" s="1"/>
      <c r="D213" s="1"/>
      <c r="E213" s="58"/>
      <c r="F213" s="1"/>
    </row>
    <row r="214" spans="1:6" ht="15.75" customHeight="1" x14ac:dyDescent="0.2">
      <c r="A214" s="56"/>
      <c r="B214" s="1"/>
      <c r="C214" s="1"/>
      <c r="D214" s="1"/>
      <c r="E214" s="58"/>
      <c r="F214" s="1"/>
    </row>
    <row r="215" spans="1:6" ht="15.75" customHeight="1" x14ac:dyDescent="0.2">
      <c r="A215" s="56"/>
      <c r="B215" s="1"/>
      <c r="C215" s="1"/>
      <c r="D215" s="1"/>
      <c r="E215" s="58"/>
      <c r="F215" s="1"/>
    </row>
    <row r="216" spans="1:6" ht="15.75" customHeight="1" x14ac:dyDescent="0.2">
      <c r="A216" s="56"/>
      <c r="B216" s="1"/>
      <c r="C216" s="1"/>
      <c r="D216" s="1"/>
      <c r="E216" s="58"/>
      <c r="F216" s="1"/>
    </row>
    <row r="217" spans="1:6" ht="15.75" customHeight="1" x14ac:dyDescent="0.2">
      <c r="A217" s="56"/>
      <c r="B217" s="1"/>
      <c r="C217" s="1"/>
      <c r="D217" s="1"/>
      <c r="E217" s="58"/>
      <c r="F217" s="1"/>
    </row>
    <row r="218" spans="1:6" ht="15.75" customHeight="1" x14ac:dyDescent="0.2">
      <c r="A218" s="56"/>
      <c r="B218" s="1"/>
      <c r="C218" s="1"/>
      <c r="D218" s="1"/>
      <c r="E218" s="58"/>
      <c r="F218" s="1"/>
    </row>
    <row r="219" spans="1:6" ht="15.75" customHeight="1" x14ac:dyDescent="0.2">
      <c r="A219" s="56"/>
      <c r="B219" s="1"/>
      <c r="C219" s="1"/>
      <c r="D219" s="1"/>
      <c r="E219" s="58"/>
      <c r="F219" s="1"/>
    </row>
    <row r="220" spans="1:6" ht="15.75" customHeight="1" x14ac:dyDescent="0.2">
      <c r="A220" s="56"/>
      <c r="B220" s="1"/>
      <c r="C220" s="1"/>
      <c r="D220" s="1"/>
      <c r="E220" s="58"/>
      <c r="F220" s="1"/>
    </row>
    <row r="221" spans="1:6" ht="15.75" customHeight="1" x14ac:dyDescent="0.2">
      <c r="A221" s="56"/>
      <c r="B221" s="1"/>
      <c r="C221" s="1"/>
      <c r="D221" s="1"/>
      <c r="E221" s="58"/>
      <c r="F221" s="1"/>
    </row>
    <row r="222" spans="1:6" ht="15.75" customHeight="1" x14ac:dyDescent="0.2">
      <c r="A222" s="56"/>
      <c r="B222" s="1"/>
      <c r="C222" s="1"/>
      <c r="D222" s="1"/>
      <c r="E222" s="58"/>
      <c r="F222" s="1"/>
    </row>
    <row r="223" spans="1:6" ht="15.75" customHeight="1" x14ac:dyDescent="0.2">
      <c r="A223" s="56"/>
      <c r="B223" s="1"/>
      <c r="C223" s="1"/>
      <c r="D223" s="1"/>
      <c r="E223" s="58"/>
      <c r="F223" s="1"/>
    </row>
    <row r="224" spans="1:6" ht="15.75" customHeight="1" x14ac:dyDescent="0.2">
      <c r="A224" s="56"/>
      <c r="B224" s="1"/>
      <c r="C224" s="1"/>
      <c r="D224" s="1"/>
      <c r="E224" s="58"/>
      <c r="F224" s="1"/>
    </row>
    <row r="225" spans="1:6" ht="15.75" customHeight="1" x14ac:dyDescent="0.2">
      <c r="A225" s="56"/>
      <c r="B225" s="1"/>
      <c r="C225" s="1"/>
      <c r="D225" s="1"/>
      <c r="E225" s="58"/>
      <c r="F225" s="1"/>
    </row>
    <row r="226" spans="1:6" ht="15.75" customHeight="1" x14ac:dyDescent="0.2">
      <c r="A226" s="56"/>
      <c r="B226" s="1"/>
      <c r="C226" s="1"/>
      <c r="D226" s="1"/>
      <c r="E226" s="58"/>
      <c r="F226" s="1"/>
    </row>
    <row r="227" spans="1:6" ht="15.75" customHeight="1" x14ac:dyDescent="0.2">
      <c r="A227" s="56"/>
      <c r="B227" s="1"/>
      <c r="C227" s="1"/>
      <c r="D227" s="1"/>
      <c r="E227" s="58"/>
      <c r="F227" s="1"/>
    </row>
    <row r="228" spans="1:6" ht="15.75" customHeight="1" x14ac:dyDescent="0.2">
      <c r="A228" s="56"/>
      <c r="B228" s="1"/>
      <c r="C228" s="1"/>
      <c r="D228" s="1"/>
      <c r="E228" s="58"/>
      <c r="F228" s="1"/>
    </row>
    <row r="229" spans="1:6" ht="15.75" customHeight="1" x14ac:dyDescent="0.2">
      <c r="A229" s="56"/>
      <c r="B229" s="1"/>
      <c r="C229" s="1"/>
      <c r="D229" s="1"/>
      <c r="E229" s="58"/>
      <c r="F229" s="1"/>
    </row>
    <row r="230" spans="1:6" ht="15.75" customHeight="1" x14ac:dyDescent="0.2">
      <c r="A230" s="56"/>
      <c r="B230" s="1"/>
      <c r="C230" s="1"/>
      <c r="D230" s="1"/>
      <c r="E230" s="58"/>
      <c r="F230" s="1"/>
    </row>
    <row r="231" spans="1:6" ht="15.75" customHeight="1" x14ac:dyDescent="0.2">
      <c r="A231" s="56"/>
      <c r="B231" s="1"/>
      <c r="C231" s="1"/>
      <c r="D231" s="1"/>
      <c r="E231" s="58"/>
      <c r="F231" s="1"/>
    </row>
    <row r="232" spans="1:6" ht="15.75" customHeight="1" x14ac:dyDescent="0.2">
      <c r="A232" s="56"/>
      <c r="B232" s="1"/>
      <c r="C232" s="1"/>
      <c r="D232" s="1"/>
      <c r="E232" s="58"/>
      <c r="F232" s="1"/>
    </row>
    <row r="233" spans="1:6" ht="15.75" customHeight="1" x14ac:dyDescent="0.2">
      <c r="A233" s="56"/>
      <c r="B233" s="1"/>
      <c r="C233" s="1"/>
      <c r="D233" s="1"/>
      <c r="E233" s="58"/>
      <c r="F233" s="1"/>
    </row>
    <row r="234" spans="1:6" ht="15.75" customHeight="1" x14ac:dyDescent="0.2">
      <c r="A234" s="56"/>
      <c r="B234" s="1"/>
      <c r="C234" s="1"/>
      <c r="D234" s="1"/>
      <c r="E234" s="58"/>
      <c r="F234" s="1"/>
    </row>
    <row r="235" spans="1:6" ht="15.75" customHeight="1" x14ac:dyDescent="0.2">
      <c r="A235" s="56"/>
      <c r="B235" s="1"/>
      <c r="C235" s="1"/>
      <c r="D235" s="1"/>
      <c r="E235" s="58"/>
      <c r="F235" s="1"/>
    </row>
    <row r="236" spans="1:6" ht="15.75" customHeight="1" x14ac:dyDescent="0.2">
      <c r="A236" s="56"/>
      <c r="B236" s="1"/>
      <c r="C236" s="1"/>
      <c r="D236" s="1"/>
      <c r="E236" s="58"/>
      <c r="F236" s="1"/>
    </row>
    <row r="237" spans="1:6" ht="15.75" customHeight="1" x14ac:dyDescent="0.2">
      <c r="A237" s="56"/>
      <c r="B237" s="1"/>
      <c r="C237" s="1"/>
      <c r="D237" s="1"/>
      <c r="E237" s="58"/>
      <c r="F237" s="1"/>
    </row>
    <row r="238" spans="1:6" ht="15.75" customHeight="1" x14ac:dyDescent="0.2">
      <c r="A238" s="56"/>
      <c r="B238" s="1"/>
      <c r="C238" s="1"/>
      <c r="D238" s="1"/>
      <c r="E238" s="58"/>
      <c r="F238" s="1"/>
    </row>
    <row r="239" spans="1:6" ht="15.75" customHeight="1" x14ac:dyDescent="0.2">
      <c r="A239" s="56"/>
      <c r="B239" s="1"/>
      <c r="C239" s="1"/>
      <c r="D239" s="1"/>
      <c r="E239" s="58"/>
      <c r="F239" s="1"/>
    </row>
    <row r="240" spans="1:6" ht="15.75" customHeight="1" x14ac:dyDescent="0.2">
      <c r="A240" s="56"/>
      <c r="B240" s="1"/>
      <c r="C240" s="1"/>
      <c r="D240" s="1"/>
      <c r="E240" s="58"/>
      <c r="F240" s="1"/>
    </row>
    <row r="241" spans="1:6" ht="15.75" customHeight="1" x14ac:dyDescent="0.2">
      <c r="A241" s="56"/>
      <c r="B241" s="1"/>
      <c r="C241" s="1"/>
      <c r="D241" s="1"/>
      <c r="E241" s="58"/>
      <c r="F241" s="1"/>
    </row>
    <row r="242" spans="1:6" ht="15.75" customHeight="1" x14ac:dyDescent="0.2">
      <c r="A242" s="56"/>
      <c r="B242" s="1"/>
      <c r="C242" s="1"/>
      <c r="D242" s="1"/>
      <c r="E242" s="58"/>
      <c r="F242" s="1"/>
    </row>
    <row r="243" spans="1:6" ht="15.75" customHeight="1" x14ac:dyDescent="0.2">
      <c r="A243" s="56"/>
      <c r="B243" s="1"/>
      <c r="C243" s="1"/>
      <c r="D243" s="1"/>
      <c r="E243" s="58"/>
      <c r="F243" s="1"/>
    </row>
    <row r="244" spans="1:6" ht="15.75" customHeight="1" x14ac:dyDescent="0.2">
      <c r="A244" s="56"/>
      <c r="B244" s="1"/>
      <c r="C244" s="1"/>
      <c r="D244" s="1"/>
      <c r="E244" s="58"/>
      <c r="F244" s="1"/>
    </row>
    <row r="245" spans="1:6" ht="15.75" customHeight="1" x14ac:dyDescent="0.2">
      <c r="A245" s="56"/>
      <c r="B245" s="1"/>
      <c r="C245" s="1"/>
      <c r="D245" s="1"/>
      <c r="E245" s="58"/>
      <c r="F245" s="1"/>
    </row>
    <row r="246" spans="1:6" ht="15.75" customHeight="1" x14ac:dyDescent="0.2">
      <c r="A246" s="56"/>
      <c r="B246" s="1"/>
      <c r="C246" s="1"/>
      <c r="D246" s="1"/>
      <c r="E246" s="58"/>
      <c r="F246" s="1"/>
    </row>
    <row r="247" spans="1:6" ht="15.75" customHeight="1" x14ac:dyDescent="0.2">
      <c r="A247" s="56"/>
      <c r="B247" s="1"/>
      <c r="C247" s="1"/>
      <c r="D247" s="1"/>
      <c r="E247" s="58"/>
      <c r="F247" s="1"/>
    </row>
    <row r="248" spans="1:6" ht="15.75" customHeight="1" x14ac:dyDescent="0.2">
      <c r="A248" s="56"/>
      <c r="B248" s="1"/>
      <c r="C248" s="1"/>
      <c r="D248" s="1"/>
      <c r="E248" s="58"/>
      <c r="F248" s="1"/>
    </row>
    <row r="249" spans="1:6" ht="15.75" customHeight="1" x14ac:dyDescent="0.2">
      <c r="A249" s="56"/>
      <c r="B249" s="1"/>
      <c r="C249" s="1"/>
      <c r="D249" s="1"/>
      <c r="E249" s="58"/>
      <c r="F249" s="1"/>
    </row>
    <row r="250" spans="1:6" ht="15.75" customHeight="1" x14ac:dyDescent="0.2">
      <c r="A250" s="56"/>
      <c r="B250" s="1"/>
      <c r="C250" s="1"/>
      <c r="D250" s="1"/>
      <c r="E250" s="58"/>
      <c r="F250" s="1"/>
    </row>
    <row r="251" spans="1:6" ht="15.75" customHeight="1" x14ac:dyDescent="0.2">
      <c r="A251" s="56"/>
      <c r="B251" s="1"/>
      <c r="C251" s="1"/>
      <c r="D251" s="1"/>
      <c r="E251" s="58"/>
      <c r="F251" s="1"/>
    </row>
    <row r="252" spans="1:6" ht="15.75" customHeight="1" x14ac:dyDescent="0.2">
      <c r="A252" s="56"/>
      <c r="B252" s="1"/>
      <c r="C252" s="1"/>
      <c r="D252" s="1"/>
      <c r="E252" s="58"/>
      <c r="F252" s="1"/>
    </row>
    <row r="253" spans="1:6" ht="15.75" customHeight="1" x14ac:dyDescent="0.2">
      <c r="A253" s="56"/>
      <c r="B253" s="1"/>
      <c r="C253" s="1"/>
      <c r="D253" s="1"/>
      <c r="E253" s="58"/>
      <c r="F253" s="1"/>
    </row>
    <row r="254" spans="1:6" ht="15.75" customHeight="1" x14ac:dyDescent="0.2">
      <c r="A254" s="56"/>
      <c r="B254" s="1"/>
      <c r="C254" s="1"/>
      <c r="D254" s="1"/>
      <c r="E254" s="58"/>
      <c r="F254" s="1"/>
    </row>
    <row r="255" spans="1:6" ht="15.75" customHeight="1" x14ac:dyDescent="0.2">
      <c r="A255" s="56"/>
      <c r="B255" s="1"/>
      <c r="C255" s="1"/>
      <c r="D255" s="1"/>
      <c r="E255" s="58"/>
      <c r="F255" s="1"/>
    </row>
    <row r="256" spans="1:6" ht="15.75" customHeight="1" x14ac:dyDescent="0.2">
      <c r="A256" s="56"/>
      <c r="B256" s="1"/>
      <c r="C256" s="1"/>
      <c r="D256" s="1"/>
      <c r="E256" s="58"/>
      <c r="F256" s="1"/>
    </row>
    <row r="257" spans="1:6" ht="15.75" customHeight="1" x14ac:dyDescent="0.2">
      <c r="A257" s="56"/>
      <c r="B257" s="1"/>
      <c r="C257" s="1"/>
      <c r="D257" s="1"/>
      <c r="E257" s="58"/>
      <c r="F257" s="1"/>
    </row>
    <row r="258" spans="1:6" ht="15.75" customHeight="1" x14ac:dyDescent="0.2">
      <c r="A258" s="56"/>
      <c r="B258" s="1"/>
      <c r="C258" s="1"/>
      <c r="D258" s="1"/>
      <c r="E258" s="58"/>
      <c r="F258" s="1"/>
    </row>
    <row r="259" spans="1:6" ht="15.75" customHeight="1" x14ac:dyDescent="0.2">
      <c r="A259" s="56"/>
      <c r="B259" s="1"/>
      <c r="C259" s="1"/>
      <c r="D259" s="1"/>
      <c r="E259" s="58"/>
      <c r="F259" s="1"/>
    </row>
    <row r="260" spans="1:6" ht="15.75" customHeight="1" x14ac:dyDescent="0.2">
      <c r="A260" s="56"/>
      <c r="B260" s="1"/>
      <c r="C260" s="1"/>
      <c r="D260" s="1"/>
      <c r="E260" s="58"/>
      <c r="F260" s="1"/>
    </row>
    <row r="261" spans="1:6" ht="15.75" customHeight="1" x14ac:dyDescent="0.2">
      <c r="A261" s="56"/>
      <c r="B261" s="1"/>
      <c r="C261" s="1"/>
      <c r="D261" s="1"/>
      <c r="E261" s="58"/>
      <c r="F261" s="1"/>
    </row>
    <row r="262" spans="1:6" ht="15.75" customHeight="1" x14ac:dyDescent="0.2">
      <c r="A262" s="56"/>
      <c r="B262" s="1"/>
      <c r="C262" s="1"/>
      <c r="D262" s="1"/>
      <c r="E262" s="58"/>
      <c r="F262" s="1"/>
    </row>
    <row r="263" spans="1:6" ht="15.75" customHeight="1" x14ac:dyDescent="0.2">
      <c r="A263" s="56"/>
      <c r="B263" s="1"/>
      <c r="C263" s="1"/>
      <c r="D263" s="1"/>
      <c r="E263" s="58"/>
      <c r="F263" s="1"/>
    </row>
    <row r="264" spans="1:6" ht="15.75" customHeight="1" x14ac:dyDescent="0.2">
      <c r="A264" s="56"/>
      <c r="B264" s="1"/>
      <c r="C264" s="1"/>
      <c r="D264" s="1"/>
      <c r="E264" s="58"/>
      <c r="F264" s="1"/>
    </row>
    <row r="265" spans="1:6" ht="15.75" customHeight="1" x14ac:dyDescent="0.2">
      <c r="A265" s="56"/>
      <c r="B265" s="1"/>
      <c r="C265" s="1"/>
      <c r="D265" s="1"/>
      <c r="E265" s="58"/>
      <c r="F265" s="1"/>
    </row>
    <row r="266" spans="1:6" ht="15.75" customHeight="1" x14ac:dyDescent="0.2">
      <c r="A266" s="56"/>
      <c r="B266" s="1"/>
      <c r="C266" s="1"/>
      <c r="D266" s="1"/>
      <c r="E266" s="58"/>
      <c r="F266" s="1"/>
    </row>
    <row r="267" spans="1:6" ht="15.75" customHeight="1" x14ac:dyDescent="0.2">
      <c r="A267" s="56"/>
      <c r="B267" s="1"/>
      <c r="C267" s="1"/>
      <c r="D267" s="1"/>
      <c r="E267" s="58"/>
      <c r="F267" s="1"/>
    </row>
    <row r="268" spans="1:6" ht="15.75" customHeight="1" x14ac:dyDescent="0.2">
      <c r="A268" s="56"/>
      <c r="B268" s="1"/>
      <c r="C268" s="1"/>
      <c r="D268" s="1"/>
      <c r="E268" s="58"/>
      <c r="F268" s="1"/>
    </row>
    <row r="269" spans="1:6" ht="15.75" customHeight="1" x14ac:dyDescent="0.2">
      <c r="A269" s="56"/>
      <c r="B269" s="1"/>
      <c r="C269" s="1"/>
      <c r="D269" s="1"/>
      <c r="E269" s="58"/>
      <c r="F269" s="1"/>
    </row>
    <row r="270" spans="1:6" ht="15.75" customHeight="1" x14ac:dyDescent="0.2">
      <c r="A270" s="56"/>
      <c r="B270" s="1"/>
      <c r="C270" s="1"/>
      <c r="D270" s="1"/>
      <c r="E270" s="58"/>
      <c r="F270" s="1"/>
    </row>
    <row r="271" spans="1:6" ht="15.75" customHeight="1" x14ac:dyDescent="0.2">
      <c r="A271" s="56"/>
      <c r="B271" s="1"/>
      <c r="C271" s="1"/>
      <c r="D271" s="1"/>
      <c r="E271" s="58"/>
      <c r="F271" s="1"/>
    </row>
    <row r="272" spans="1:6" ht="15.75" customHeight="1" x14ac:dyDescent="0.2">
      <c r="A272" s="56"/>
      <c r="B272" s="1"/>
      <c r="C272" s="1"/>
      <c r="D272" s="1"/>
      <c r="E272" s="58"/>
      <c r="F272" s="1"/>
    </row>
    <row r="273" spans="1:6" ht="15.75" customHeight="1" x14ac:dyDescent="0.2">
      <c r="A273" s="56"/>
      <c r="B273" s="1"/>
      <c r="C273" s="1"/>
      <c r="D273" s="1"/>
      <c r="E273" s="58"/>
      <c r="F273" s="1"/>
    </row>
    <row r="274" spans="1:6" ht="15.75" customHeight="1" x14ac:dyDescent="0.2">
      <c r="A274" s="56"/>
      <c r="B274" s="1"/>
      <c r="C274" s="1"/>
      <c r="D274" s="1"/>
      <c r="E274" s="58"/>
      <c r="F274" s="1"/>
    </row>
    <row r="275" spans="1:6" ht="15.75" customHeight="1" x14ac:dyDescent="0.2">
      <c r="A275" s="56"/>
      <c r="B275" s="1"/>
      <c r="C275" s="1"/>
      <c r="D275" s="1"/>
      <c r="E275" s="58"/>
      <c r="F275" s="1"/>
    </row>
    <row r="276" spans="1:6" ht="15.75" customHeight="1" x14ac:dyDescent="0.2">
      <c r="A276" s="56"/>
      <c r="B276" s="1"/>
      <c r="C276" s="1"/>
      <c r="D276" s="1"/>
      <c r="E276" s="58"/>
      <c r="F276" s="1"/>
    </row>
    <row r="277" spans="1:6" ht="15.75" customHeight="1" x14ac:dyDescent="0.2">
      <c r="A277" s="56"/>
      <c r="B277" s="1"/>
      <c r="C277" s="1"/>
      <c r="D277" s="1"/>
      <c r="E277" s="58"/>
      <c r="F277" s="1"/>
    </row>
    <row r="278" spans="1:6" ht="15.75" customHeight="1" x14ac:dyDescent="0.2">
      <c r="A278" s="56"/>
      <c r="B278" s="1"/>
      <c r="C278" s="1"/>
      <c r="D278" s="1"/>
      <c r="E278" s="58"/>
      <c r="F278" s="1"/>
    </row>
    <row r="279" spans="1:6" ht="15.75" customHeight="1" x14ac:dyDescent="0.2">
      <c r="A279" s="56"/>
      <c r="B279" s="1"/>
      <c r="C279" s="1"/>
      <c r="D279" s="1"/>
      <c r="E279" s="58"/>
      <c r="F279" s="1"/>
    </row>
    <row r="280" spans="1:6" ht="15.75" customHeight="1" x14ac:dyDescent="0.2">
      <c r="A280" s="56"/>
      <c r="B280" s="1"/>
      <c r="C280" s="1"/>
      <c r="D280" s="1"/>
      <c r="E280" s="58"/>
      <c r="F280" s="1"/>
    </row>
    <row r="281" spans="1:6" ht="15.75" customHeight="1" x14ac:dyDescent="0.2">
      <c r="A281" s="56"/>
      <c r="B281" s="1"/>
      <c r="C281" s="1"/>
      <c r="D281" s="1"/>
      <c r="E281" s="58"/>
      <c r="F281" s="1"/>
    </row>
    <row r="282" spans="1:6" ht="15.75" customHeight="1" x14ac:dyDescent="0.2">
      <c r="A282" s="56"/>
      <c r="B282" s="1"/>
      <c r="C282" s="1"/>
      <c r="D282" s="1"/>
      <c r="E282" s="58"/>
      <c r="F282" s="1"/>
    </row>
    <row r="283" spans="1:6" ht="15.75" customHeight="1" x14ac:dyDescent="0.2">
      <c r="A283" s="56"/>
      <c r="B283" s="1"/>
      <c r="C283" s="1"/>
      <c r="D283" s="1"/>
      <c r="E283" s="58"/>
      <c r="F283" s="1"/>
    </row>
    <row r="284" spans="1:6" ht="15.75" customHeight="1" x14ac:dyDescent="0.2">
      <c r="A284" s="56"/>
      <c r="B284" s="1"/>
      <c r="C284" s="1"/>
      <c r="D284" s="1"/>
      <c r="E284" s="58"/>
      <c r="F284" s="1"/>
    </row>
    <row r="285" spans="1:6" ht="15.75" customHeight="1" x14ac:dyDescent="0.2">
      <c r="A285" s="56"/>
      <c r="B285" s="1"/>
      <c r="C285" s="1"/>
      <c r="D285" s="1"/>
      <c r="E285" s="58"/>
      <c r="F285" s="1"/>
    </row>
    <row r="286" spans="1:6" ht="15.75" customHeight="1" x14ac:dyDescent="0.2">
      <c r="A286" s="56"/>
      <c r="B286" s="1"/>
      <c r="C286" s="1"/>
      <c r="D286" s="1"/>
      <c r="E286" s="58"/>
      <c r="F286" s="1"/>
    </row>
    <row r="287" spans="1:6" ht="15.75" customHeight="1" x14ac:dyDescent="0.2">
      <c r="A287" s="56"/>
      <c r="B287" s="1"/>
      <c r="C287" s="1"/>
      <c r="D287" s="1"/>
      <c r="E287" s="58"/>
      <c r="F287" s="1"/>
    </row>
    <row r="288" spans="1:6" ht="15.75" customHeight="1" x14ac:dyDescent="0.2">
      <c r="A288" s="56"/>
      <c r="B288" s="1"/>
      <c r="C288" s="1"/>
      <c r="D288" s="1"/>
      <c r="E288" s="58"/>
      <c r="F288" s="1"/>
    </row>
    <row r="289" spans="1:6" ht="15.75" customHeight="1" x14ac:dyDescent="0.2">
      <c r="A289" s="56"/>
      <c r="B289" s="1"/>
      <c r="C289" s="1"/>
      <c r="D289" s="1"/>
      <c r="E289" s="58"/>
      <c r="F289" s="1"/>
    </row>
    <row r="290" spans="1:6" ht="15.75" customHeight="1" x14ac:dyDescent="0.2">
      <c r="A290" s="56"/>
      <c r="B290" s="1"/>
      <c r="C290" s="1"/>
      <c r="D290" s="1"/>
      <c r="E290" s="58"/>
      <c r="F290" s="1"/>
    </row>
    <row r="291" spans="1:6" ht="15.75" customHeight="1" x14ac:dyDescent="0.2">
      <c r="A291" s="56"/>
      <c r="B291" s="1"/>
      <c r="C291" s="1"/>
      <c r="D291" s="1"/>
      <c r="E291" s="58"/>
      <c r="F291" s="1"/>
    </row>
    <row r="292" spans="1:6" ht="15.75" customHeight="1" x14ac:dyDescent="0.2">
      <c r="A292" s="56"/>
      <c r="B292" s="1"/>
      <c r="C292" s="1"/>
      <c r="D292" s="1"/>
      <c r="E292" s="58"/>
      <c r="F292" s="1"/>
    </row>
    <row r="293" spans="1:6" ht="15.75" customHeight="1" x14ac:dyDescent="0.2">
      <c r="A293" s="56"/>
      <c r="B293" s="1"/>
      <c r="C293" s="1"/>
      <c r="D293" s="1"/>
      <c r="E293" s="58"/>
      <c r="F293" s="1"/>
    </row>
    <row r="294" spans="1:6" ht="15.75" customHeight="1" x14ac:dyDescent="0.2">
      <c r="A294" s="56"/>
      <c r="B294" s="1"/>
      <c r="C294" s="1"/>
      <c r="D294" s="1"/>
      <c r="E294" s="58"/>
      <c r="F294" s="1"/>
    </row>
    <row r="295" spans="1:6" ht="15.75" customHeight="1" x14ac:dyDescent="0.2">
      <c r="A295" s="56"/>
      <c r="B295" s="1"/>
      <c r="C295" s="1"/>
      <c r="D295" s="1"/>
      <c r="E295" s="58"/>
      <c r="F295" s="1"/>
    </row>
    <row r="296" spans="1:6" ht="15.75" customHeight="1" x14ac:dyDescent="0.2">
      <c r="A296" s="56"/>
      <c r="B296" s="1"/>
      <c r="C296" s="1"/>
      <c r="D296" s="1"/>
      <c r="E296" s="58"/>
      <c r="F296" s="1"/>
    </row>
    <row r="297" spans="1:6" ht="15.75" customHeight="1" x14ac:dyDescent="0.2">
      <c r="A297" s="56"/>
      <c r="B297" s="1"/>
      <c r="C297" s="1"/>
      <c r="D297" s="1"/>
      <c r="E297" s="58"/>
      <c r="F297" s="1"/>
    </row>
    <row r="298" spans="1:6" ht="15.75" customHeight="1" x14ac:dyDescent="0.2">
      <c r="A298" s="56"/>
      <c r="B298" s="1"/>
      <c r="C298" s="1"/>
      <c r="D298" s="1"/>
      <c r="E298" s="58"/>
      <c r="F298" s="1"/>
    </row>
    <row r="299" spans="1:6" ht="15.75" customHeight="1" x14ac:dyDescent="0.2">
      <c r="A299" s="56"/>
      <c r="B299" s="1"/>
      <c r="C299" s="1"/>
      <c r="D299" s="1"/>
      <c r="E299" s="58"/>
      <c r="F299" s="1"/>
    </row>
    <row r="300" spans="1:6" ht="15.75" customHeight="1" x14ac:dyDescent="0.2">
      <c r="A300" s="56"/>
      <c r="B300" s="1"/>
      <c r="C300" s="1"/>
      <c r="D300" s="1"/>
      <c r="E300" s="58"/>
      <c r="F300" s="1"/>
    </row>
    <row r="301" spans="1:6" ht="15.75" customHeight="1" x14ac:dyDescent="0.2">
      <c r="A301" s="56"/>
      <c r="B301" s="1"/>
      <c r="C301" s="1"/>
      <c r="D301" s="1"/>
      <c r="E301" s="58"/>
      <c r="F301" s="1"/>
    </row>
    <row r="302" spans="1:6" ht="15.75" customHeight="1" x14ac:dyDescent="0.2">
      <c r="A302" s="56"/>
      <c r="B302" s="1"/>
      <c r="C302" s="1"/>
      <c r="D302" s="1"/>
      <c r="E302" s="58"/>
      <c r="F302" s="1"/>
    </row>
    <row r="303" spans="1:6" ht="15.75" customHeight="1" x14ac:dyDescent="0.2">
      <c r="A303" s="56"/>
      <c r="B303" s="1"/>
      <c r="C303" s="1"/>
      <c r="D303" s="1"/>
      <c r="E303" s="58"/>
      <c r="F303" s="1"/>
    </row>
    <row r="304" spans="1:6" ht="15.75" customHeight="1" x14ac:dyDescent="0.2">
      <c r="A304" s="56"/>
      <c r="B304" s="1"/>
      <c r="C304" s="1"/>
      <c r="D304" s="1"/>
      <c r="E304" s="58"/>
      <c r="F304" s="1"/>
    </row>
    <row r="305" spans="1:6" ht="15.75" customHeight="1" x14ac:dyDescent="0.2">
      <c r="A305" s="56"/>
      <c r="B305" s="1"/>
      <c r="C305" s="1"/>
      <c r="D305" s="1"/>
      <c r="E305" s="58"/>
      <c r="F305" s="1"/>
    </row>
    <row r="306" spans="1:6" ht="15.75" customHeight="1" x14ac:dyDescent="0.2">
      <c r="A306" s="56"/>
      <c r="B306" s="1"/>
      <c r="C306" s="1"/>
      <c r="D306" s="1"/>
      <c r="E306" s="58"/>
      <c r="F306" s="1"/>
    </row>
    <row r="307" spans="1:6" ht="15.75" customHeight="1" x14ac:dyDescent="0.2">
      <c r="A307" s="56"/>
      <c r="B307" s="1"/>
      <c r="C307" s="1"/>
      <c r="D307" s="1"/>
      <c r="E307" s="58"/>
      <c r="F307" s="1"/>
    </row>
    <row r="308" spans="1:6" ht="15.75" customHeight="1" x14ac:dyDescent="0.2">
      <c r="A308" s="56"/>
      <c r="B308" s="1"/>
      <c r="C308" s="1"/>
      <c r="D308" s="1"/>
      <c r="E308" s="58"/>
      <c r="F308" s="1"/>
    </row>
    <row r="309" spans="1:6" ht="15.75" customHeight="1" x14ac:dyDescent="0.2">
      <c r="A309" s="56"/>
      <c r="B309" s="1"/>
      <c r="C309" s="1"/>
      <c r="D309" s="1"/>
      <c r="E309" s="58"/>
      <c r="F309" s="1"/>
    </row>
    <row r="310" spans="1:6" ht="15.75" customHeight="1" x14ac:dyDescent="0.2">
      <c r="A310" s="56"/>
      <c r="B310" s="1"/>
      <c r="C310" s="1"/>
      <c r="D310" s="1"/>
      <c r="E310" s="58"/>
      <c r="F310" s="1"/>
    </row>
    <row r="311" spans="1:6" ht="15.75" customHeight="1" x14ac:dyDescent="0.2">
      <c r="A311" s="56"/>
      <c r="B311" s="1"/>
      <c r="C311" s="1"/>
      <c r="D311" s="1"/>
      <c r="E311" s="58"/>
      <c r="F311" s="1"/>
    </row>
    <row r="312" spans="1:6" ht="15.75" customHeight="1" x14ac:dyDescent="0.2"/>
    <row r="313" spans="1:6" ht="15.75" customHeight="1" x14ac:dyDescent="0.2"/>
    <row r="314" spans="1:6" ht="15.75" customHeight="1" x14ac:dyDescent="0.2"/>
    <row r="315" spans="1:6" ht="15.75" customHeight="1" x14ac:dyDescent="0.2"/>
    <row r="316" spans="1:6" ht="15.75" customHeight="1" x14ac:dyDescent="0.2"/>
    <row r="317" spans="1:6" ht="15.75" customHeight="1" x14ac:dyDescent="0.2"/>
    <row r="318" spans="1:6" ht="15.75" customHeight="1" x14ac:dyDescent="0.2"/>
    <row r="319" spans="1:6" ht="15.75" customHeight="1" x14ac:dyDescent="0.2"/>
    <row r="320" spans="1:6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1459D-386C-4AF0-8F26-990FD91771FE}">
  <sheetPr codeName="Sheet4"/>
  <dimension ref="A1:M161"/>
  <sheetViews>
    <sheetView topLeftCell="A45" zoomScale="55" zoomScaleNormal="55" workbookViewId="0">
      <selection activeCell="B3" sqref="B3"/>
    </sheetView>
  </sheetViews>
  <sheetFormatPr baseColWidth="10" defaultColWidth="8.83203125" defaultRowHeight="15" x14ac:dyDescent="0.2"/>
  <cols>
    <col min="1" max="1" width="11" bestFit="1" customWidth="1"/>
    <col min="2" max="2" width="59.6640625" bestFit="1" customWidth="1"/>
    <col min="3" max="3" width="22.83203125" style="72" customWidth="1"/>
    <col min="4" max="4" width="13.83203125" customWidth="1"/>
    <col min="5" max="5" width="9.5" customWidth="1"/>
  </cols>
  <sheetData>
    <row r="1" spans="1:13" ht="16" thickBot="1" x14ac:dyDescent="0.25">
      <c r="A1" s="2" t="s">
        <v>11</v>
      </c>
      <c r="B1" s="2" t="s">
        <v>12</v>
      </c>
      <c r="C1" s="71" t="s">
        <v>13</v>
      </c>
      <c r="D1" s="2" t="s">
        <v>15</v>
      </c>
      <c r="E1" s="52" t="s">
        <v>16</v>
      </c>
    </row>
    <row r="2" spans="1:13" ht="16" thickBot="1" x14ac:dyDescent="0.25">
      <c r="A2" s="10">
        <v>44197</v>
      </c>
      <c r="B2" s="1" t="s">
        <v>25</v>
      </c>
      <c r="C2" s="72" t="s">
        <v>26</v>
      </c>
      <c r="D2" s="6">
        <v>965</v>
      </c>
      <c r="E2" s="1">
        <v>27</v>
      </c>
      <c r="M2" s="1">
        <v>37</v>
      </c>
    </row>
    <row r="3" spans="1:13" ht="17" thickBot="1" x14ac:dyDescent="0.25">
      <c r="A3" s="11" t="s">
        <v>335</v>
      </c>
      <c r="B3" s="1" t="s">
        <v>27</v>
      </c>
      <c r="C3" s="72" t="s">
        <v>28</v>
      </c>
      <c r="D3" s="7">
        <v>499</v>
      </c>
      <c r="E3" s="1">
        <v>42</v>
      </c>
      <c r="M3" s="1">
        <v>46</v>
      </c>
    </row>
    <row r="4" spans="1:13" ht="16" thickBot="1" x14ac:dyDescent="0.25">
      <c r="A4" s="12">
        <v>44237</v>
      </c>
      <c r="B4" s="1" t="s">
        <v>29</v>
      </c>
      <c r="C4" s="72" t="s">
        <v>30</v>
      </c>
      <c r="D4" s="7">
        <v>2399.9899999999998</v>
      </c>
      <c r="E4" s="1">
        <v>24</v>
      </c>
      <c r="M4" s="1">
        <v>24</v>
      </c>
    </row>
    <row r="5" spans="1:13" ht="16" thickBot="1" x14ac:dyDescent="0.25">
      <c r="A5" s="12">
        <v>44262</v>
      </c>
      <c r="B5" s="1" t="s">
        <v>31</v>
      </c>
      <c r="C5" s="72" t="s">
        <v>32</v>
      </c>
      <c r="D5" s="7">
        <v>2699</v>
      </c>
      <c r="E5" s="1">
        <v>25</v>
      </c>
      <c r="M5" s="1">
        <v>27</v>
      </c>
    </row>
    <row r="6" spans="1:13" ht="17" thickBot="1" x14ac:dyDescent="0.25">
      <c r="A6" s="12" t="s">
        <v>336</v>
      </c>
      <c r="B6" s="1" t="s">
        <v>33</v>
      </c>
      <c r="C6" s="72" t="s">
        <v>34</v>
      </c>
      <c r="D6" s="7">
        <v>647.99</v>
      </c>
      <c r="E6" s="1">
        <v>17</v>
      </c>
      <c r="M6" s="1">
        <v>22</v>
      </c>
    </row>
    <row r="7" spans="1:13" ht="17" thickBot="1" x14ac:dyDescent="0.25">
      <c r="A7" s="11" t="s">
        <v>337</v>
      </c>
      <c r="B7" s="1" t="s">
        <v>35</v>
      </c>
      <c r="C7" s="72" t="s">
        <v>36</v>
      </c>
      <c r="D7" s="7">
        <v>5799</v>
      </c>
      <c r="E7" s="1">
        <v>21</v>
      </c>
      <c r="M7" s="1">
        <v>21</v>
      </c>
    </row>
    <row r="8" spans="1:13" ht="17" thickBot="1" x14ac:dyDescent="0.25">
      <c r="A8" s="11" t="s">
        <v>338</v>
      </c>
      <c r="B8" s="1" t="s">
        <v>37</v>
      </c>
      <c r="C8" s="72" t="s">
        <v>38</v>
      </c>
      <c r="D8" s="7">
        <v>3199</v>
      </c>
      <c r="E8" s="1">
        <v>43</v>
      </c>
      <c r="J8" s="1"/>
      <c r="M8" s="1">
        <v>44</v>
      </c>
    </row>
    <row r="9" spans="1:13" ht="17" thickBot="1" x14ac:dyDescent="0.25">
      <c r="A9" s="11" t="s">
        <v>339</v>
      </c>
      <c r="B9" s="1" t="s">
        <v>39</v>
      </c>
      <c r="C9" s="72" t="s">
        <v>40</v>
      </c>
      <c r="D9" s="7">
        <v>7999</v>
      </c>
      <c r="E9" s="1">
        <v>9</v>
      </c>
      <c r="J9" s="1"/>
      <c r="M9" s="1">
        <v>10</v>
      </c>
    </row>
    <row r="10" spans="1:13" ht="16" thickBot="1" x14ac:dyDescent="0.25">
      <c r="A10" s="12">
        <v>44538</v>
      </c>
      <c r="B10" s="1" t="s">
        <v>41</v>
      </c>
      <c r="C10" s="72" t="s">
        <v>42</v>
      </c>
      <c r="D10" s="7">
        <v>13999</v>
      </c>
      <c r="E10" s="1">
        <v>27</v>
      </c>
      <c r="J10" s="1"/>
      <c r="M10" s="1">
        <v>28</v>
      </c>
    </row>
    <row r="11" spans="1:13" ht="16" thickBot="1" x14ac:dyDescent="0.25">
      <c r="A11" s="12">
        <v>44409</v>
      </c>
      <c r="B11" s="1" t="s">
        <v>43</v>
      </c>
      <c r="C11" s="72" t="s">
        <v>44</v>
      </c>
      <c r="D11" s="7">
        <v>3999</v>
      </c>
      <c r="E11" s="1">
        <v>10</v>
      </c>
      <c r="J11" s="1"/>
      <c r="M11" s="1">
        <v>12</v>
      </c>
    </row>
    <row r="12" spans="1:13" ht="16" thickBot="1" x14ac:dyDescent="0.25">
      <c r="A12" s="12">
        <v>44415</v>
      </c>
      <c r="B12" s="1" t="s">
        <v>45</v>
      </c>
      <c r="C12" s="72" t="s">
        <v>46</v>
      </c>
      <c r="D12" s="7">
        <v>33999</v>
      </c>
      <c r="E12" s="1">
        <v>36</v>
      </c>
      <c r="J12" s="1"/>
      <c r="M12" s="1">
        <v>37</v>
      </c>
    </row>
    <row r="13" spans="1:13" ht="17" thickBot="1" x14ac:dyDescent="0.25">
      <c r="A13" s="11" t="s">
        <v>340</v>
      </c>
      <c r="B13" s="1" t="s">
        <v>47</v>
      </c>
      <c r="C13" s="72" t="s">
        <v>48</v>
      </c>
      <c r="D13" s="7">
        <v>3399</v>
      </c>
      <c r="E13" s="1">
        <v>37</v>
      </c>
      <c r="J13" s="1"/>
      <c r="M13" s="1">
        <v>38</v>
      </c>
    </row>
    <row r="14" spans="1:13" ht="16" thickBot="1" x14ac:dyDescent="0.25">
      <c r="A14" s="12">
        <v>44387</v>
      </c>
      <c r="B14" s="1" t="s">
        <v>49</v>
      </c>
      <c r="C14" s="72" t="s">
        <v>50</v>
      </c>
      <c r="D14" s="7">
        <v>3249</v>
      </c>
      <c r="E14" s="1">
        <v>5</v>
      </c>
      <c r="J14" s="1"/>
      <c r="M14" s="1">
        <v>5</v>
      </c>
    </row>
    <row r="15" spans="1:13" ht="17" thickBot="1" x14ac:dyDescent="0.25">
      <c r="A15" s="11" t="s">
        <v>341</v>
      </c>
      <c r="B15" s="1" t="s">
        <v>51</v>
      </c>
      <c r="C15" s="72" t="s">
        <v>52</v>
      </c>
      <c r="D15" s="7">
        <v>909</v>
      </c>
      <c r="E15" s="1">
        <v>23</v>
      </c>
      <c r="J15" s="1"/>
      <c r="M15" s="1">
        <v>26</v>
      </c>
    </row>
    <row r="16" spans="1:13" ht="16" thickBot="1" x14ac:dyDescent="0.25">
      <c r="A16" s="12">
        <v>44229</v>
      </c>
      <c r="B16" s="1" t="s">
        <v>53</v>
      </c>
      <c r="C16" s="72" t="s">
        <v>54</v>
      </c>
      <c r="D16" s="7">
        <v>2299</v>
      </c>
      <c r="E16" s="1">
        <v>21</v>
      </c>
      <c r="J16" s="1"/>
      <c r="M16" s="1">
        <v>25</v>
      </c>
    </row>
    <row r="17" spans="1:13" ht="16" thickBot="1" x14ac:dyDescent="0.25">
      <c r="A17" s="12">
        <v>44381</v>
      </c>
      <c r="B17" s="1" t="s">
        <v>55</v>
      </c>
      <c r="C17" s="72" t="s">
        <v>56</v>
      </c>
      <c r="D17" s="7">
        <v>2199</v>
      </c>
      <c r="E17" s="1">
        <v>3</v>
      </c>
      <c r="M17" s="1">
        <v>3</v>
      </c>
    </row>
    <row r="18" spans="1:13" ht="17" thickBot="1" x14ac:dyDescent="0.25">
      <c r="A18" s="11" t="s">
        <v>342</v>
      </c>
      <c r="B18" s="1" t="s">
        <v>57</v>
      </c>
      <c r="C18" s="72" t="s">
        <v>58</v>
      </c>
      <c r="D18" s="7">
        <v>2499</v>
      </c>
      <c r="E18" s="1">
        <v>23</v>
      </c>
      <c r="M18" s="1">
        <v>24</v>
      </c>
    </row>
    <row r="19" spans="1:13" ht="17" thickBot="1" x14ac:dyDescent="0.25">
      <c r="A19" s="11" t="s">
        <v>343</v>
      </c>
      <c r="B19" s="1" t="s">
        <v>59</v>
      </c>
      <c r="C19" s="72" t="s">
        <v>60</v>
      </c>
      <c r="D19" s="7">
        <v>5699</v>
      </c>
      <c r="E19" s="1">
        <v>40</v>
      </c>
      <c r="M19" s="1">
        <v>40</v>
      </c>
    </row>
    <row r="20" spans="1:13" ht="16" thickBot="1" x14ac:dyDescent="0.25">
      <c r="A20" s="12">
        <v>44475</v>
      </c>
      <c r="B20" s="1" t="s">
        <v>61</v>
      </c>
      <c r="C20" s="72" t="s">
        <v>62</v>
      </c>
      <c r="D20" s="7">
        <v>10999</v>
      </c>
      <c r="E20" s="1">
        <v>24</v>
      </c>
      <c r="M20" s="1">
        <v>24</v>
      </c>
    </row>
    <row r="21" spans="1:13" ht="17" thickBot="1" x14ac:dyDescent="0.25">
      <c r="A21" s="11" t="s">
        <v>344</v>
      </c>
      <c r="B21" s="1" t="s">
        <v>63</v>
      </c>
      <c r="C21" s="72" t="s">
        <v>64</v>
      </c>
      <c r="D21" s="7">
        <v>7999</v>
      </c>
      <c r="E21" s="1">
        <v>10</v>
      </c>
      <c r="M21" s="1">
        <v>11</v>
      </c>
    </row>
    <row r="22" spans="1:13" ht="17" thickBot="1" x14ac:dyDescent="0.25">
      <c r="A22" s="11" t="s">
        <v>345</v>
      </c>
      <c r="B22" s="1" t="s">
        <v>65</v>
      </c>
      <c r="C22" s="72" t="s">
        <v>66</v>
      </c>
      <c r="D22" s="7">
        <v>4799</v>
      </c>
      <c r="E22" s="1">
        <v>11</v>
      </c>
      <c r="M22" s="1">
        <v>13</v>
      </c>
    </row>
    <row r="23" spans="1:13" ht="17" thickBot="1" x14ac:dyDescent="0.25">
      <c r="A23" s="11" t="s">
        <v>346</v>
      </c>
      <c r="B23" s="1" t="s">
        <v>67</v>
      </c>
      <c r="C23" s="72" t="s">
        <v>68</v>
      </c>
      <c r="D23" s="7">
        <v>3145</v>
      </c>
      <c r="E23" s="1">
        <v>41</v>
      </c>
      <c r="M23" s="1">
        <v>41</v>
      </c>
    </row>
    <row r="24" spans="1:13" ht="17" thickBot="1" x14ac:dyDescent="0.25">
      <c r="A24" s="11" t="s">
        <v>347</v>
      </c>
      <c r="B24" s="1" t="s">
        <v>69</v>
      </c>
      <c r="C24" s="72" t="s">
        <v>70</v>
      </c>
      <c r="D24" s="7">
        <v>2819</v>
      </c>
      <c r="E24" s="1">
        <v>12</v>
      </c>
      <c r="M24" s="1">
        <v>13</v>
      </c>
    </row>
    <row r="25" spans="1:13" ht="16" thickBot="1" x14ac:dyDescent="0.25">
      <c r="A25" s="12">
        <v>44506</v>
      </c>
      <c r="B25" s="1" t="s">
        <v>71</v>
      </c>
      <c r="C25" s="72" t="s">
        <v>72</v>
      </c>
      <c r="D25" s="7">
        <v>12500</v>
      </c>
      <c r="E25" s="1">
        <v>42</v>
      </c>
      <c r="M25" s="1">
        <v>43</v>
      </c>
    </row>
    <row r="26" spans="1:13" ht="17" thickBot="1" x14ac:dyDescent="0.25">
      <c r="A26" s="11" t="s">
        <v>348</v>
      </c>
      <c r="B26" t="s">
        <v>73</v>
      </c>
      <c r="C26" s="72" t="s">
        <v>74</v>
      </c>
      <c r="D26" s="7">
        <v>2569</v>
      </c>
      <c r="E26" s="1">
        <v>16</v>
      </c>
      <c r="M26" s="1">
        <v>18</v>
      </c>
    </row>
    <row r="27" spans="1:13" ht="16" thickBot="1" x14ac:dyDescent="0.25">
      <c r="A27" s="12">
        <v>44356</v>
      </c>
      <c r="B27" t="s">
        <v>75</v>
      </c>
      <c r="C27" s="72" t="s">
        <v>76</v>
      </c>
      <c r="D27" s="8">
        <v>3699</v>
      </c>
      <c r="E27" s="1">
        <v>4</v>
      </c>
      <c r="M27" s="1">
        <v>4</v>
      </c>
    </row>
    <row r="28" spans="1:13" ht="17" thickBot="1" x14ac:dyDescent="0.25">
      <c r="A28" s="11" t="s">
        <v>349</v>
      </c>
      <c r="B28" t="s">
        <v>77</v>
      </c>
      <c r="C28" s="72" t="s">
        <v>78</v>
      </c>
      <c r="D28" s="7">
        <v>4883</v>
      </c>
      <c r="E28" s="1">
        <v>13</v>
      </c>
      <c r="M28" s="1">
        <v>15</v>
      </c>
    </row>
    <row r="29" spans="1:13" ht="17" thickBot="1" x14ac:dyDescent="0.25">
      <c r="A29" s="11" t="s">
        <v>350</v>
      </c>
      <c r="B29" s="1" t="s">
        <v>79</v>
      </c>
      <c r="C29" s="72" t="s">
        <v>80</v>
      </c>
      <c r="D29" s="7">
        <v>610</v>
      </c>
      <c r="E29" s="1">
        <v>28</v>
      </c>
      <c r="M29" s="1">
        <v>32</v>
      </c>
    </row>
    <row r="30" spans="1:13" ht="17" thickBot="1" x14ac:dyDescent="0.25">
      <c r="A30" s="11" t="s">
        <v>351</v>
      </c>
      <c r="B30" s="1" t="s">
        <v>571</v>
      </c>
      <c r="C30" s="72" t="s">
        <v>570</v>
      </c>
      <c r="D30" s="7">
        <v>2255</v>
      </c>
      <c r="E30" s="1">
        <v>29</v>
      </c>
      <c r="M30" s="1">
        <v>31</v>
      </c>
    </row>
    <row r="31" spans="1:13" ht="16" thickBot="1" x14ac:dyDescent="0.25">
      <c r="A31" s="12">
        <v>44202</v>
      </c>
      <c r="B31" s="1" t="s">
        <v>572</v>
      </c>
      <c r="C31" s="72" t="s">
        <v>573</v>
      </c>
      <c r="D31" s="7">
        <v>1495</v>
      </c>
      <c r="E31" s="1">
        <v>4</v>
      </c>
      <c r="M31" s="1">
        <v>4</v>
      </c>
    </row>
    <row r="32" spans="1:13" ht="17" thickBot="1" x14ac:dyDescent="0.25">
      <c r="A32" s="11" t="s">
        <v>352</v>
      </c>
      <c r="B32" s="1" t="s">
        <v>85</v>
      </c>
      <c r="C32" s="72" t="s">
        <v>86</v>
      </c>
      <c r="D32" s="7">
        <v>605</v>
      </c>
      <c r="E32" s="1">
        <v>19</v>
      </c>
      <c r="M32" s="1">
        <v>39</v>
      </c>
    </row>
    <row r="33" spans="1:13" ht="17" thickBot="1" x14ac:dyDescent="0.25">
      <c r="A33" s="11" t="s">
        <v>353</v>
      </c>
      <c r="B33" s="1" t="s">
        <v>87</v>
      </c>
      <c r="C33" s="72" t="s">
        <v>88</v>
      </c>
      <c r="D33" s="7">
        <v>10648</v>
      </c>
      <c r="E33" s="1">
        <v>22</v>
      </c>
      <c r="M33" s="1">
        <v>34</v>
      </c>
    </row>
    <row r="34" spans="1:13" ht="17" thickBot="1" x14ac:dyDescent="0.25">
      <c r="A34" s="11" t="s">
        <v>354</v>
      </c>
      <c r="B34" s="1" t="s">
        <v>79</v>
      </c>
      <c r="C34" s="72" t="s">
        <v>80</v>
      </c>
      <c r="D34" s="7">
        <v>610</v>
      </c>
      <c r="E34" s="1">
        <v>28</v>
      </c>
      <c r="M34" s="1">
        <v>41</v>
      </c>
    </row>
    <row r="35" spans="1:13" ht="16" thickBot="1" x14ac:dyDescent="0.25">
      <c r="A35" s="12">
        <v>44298</v>
      </c>
      <c r="B35" s="1" t="s">
        <v>81</v>
      </c>
      <c r="C35" s="72" t="s">
        <v>82</v>
      </c>
      <c r="D35" s="7">
        <v>2255</v>
      </c>
      <c r="E35" s="1">
        <v>31</v>
      </c>
      <c r="M35" s="1">
        <v>33</v>
      </c>
    </row>
    <row r="36" spans="1:13" ht="17" thickBot="1" x14ac:dyDescent="0.25">
      <c r="A36" s="11" t="s">
        <v>355</v>
      </c>
      <c r="B36" s="1" t="s">
        <v>83</v>
      </c>
      <c r="C36" s="72" t="s">
        <v>84</v>
      </c>
      <c r="D36" s="7">
        <v>1495</v>
      </c>
      <c r="E36" s="1">
        <v>50</v>
      </c>
      <c r="M36" s="1">
        <v>50</v>
      </c>
    </row>
    <row r="37" spans="1:13" ht="17" thickBot="1" x14ac:dyDescent="0.25">
      <c r="A37" s="11" t="s">
        <v>356</v>
      </c>
      <c r="B37" s="1" t="s">
        <v>89</v>
      </c>
      <c r="C37" s="72" t="s">
        <v>90</v>
      </c>
      <c r="D37" s="7">
        <v>2135</v>
      </c>
      <c r="E37" s="1">
        <v>47</v>
      </c>
      <c r="M37" s="1">
        <v>47</v>
      </c>
    </row>
    <row r="38" spans="1:13" ht="17" thickBot="1" x14ac:dyDescent="0.25">
      <c r="A38" s="11" t="s">
        <v>357</v>
      </c>
      <c r="B38" s="1" t="s">
        <v>85</v>
      </c>
      <c r="C38" s="72" t="s">
        <v>86</v>
      </c>
      <c r="D38" s="7">
        <v>605</v>
      </c>
      <c r="E38" s="1">
        <v>19</v>
      </c>
      <c r="M38" s="1">
        <v>21</v>
      </c>
    </row>
    <row r="39" spans="1:13" ht="16" thickBot="1" x14ac:dyDescent="0.25">
      <c r="A39" s="12">
        <v>44236</v>
      </c>
      <c r="B39" s="1" t="s">
        <v>87</v>
      </c>
      <c r="C39" s="72" t="s">
        <v>88</v>
      </c>
      <c r="D39" s="7">
        <v>10648</v>
      </c>
      <c r="E39" s="1">
        <v>22</v>
      </c>
      <c r="M39" s="1">
        <v>23</v>
      </c>
    </row>
    <row r="40" spans="1:13" ht="16" thickBot="1" x14ac:dyDescent="0.25">
      <c r="A40" s="12">
        <v>44354</v>
      </c>
      <c r="B40" s="1" t="s">
        <v>91</v>
      </c>
      <c r="C40" s="72" t="s">
        <v>92</v>
      </c>
      <c r="D40" s="7">
        <v>3866</v>
      </c>
      <c r="E40" s="1">
        <v>17</v>
      </c>
      <c r="M40" s="1">
        <v>19</v>
      </c>
    </row>
    <row r="41" spans="1:13" ht="17" thickBot="1" x14ac:dyDescent="0.25">
      <c r="A41" s="11" t="s">
        <v>358</v>
      </c>
      <c r="B41" s="1" t="s">
        <v>93</v>
      </c>
      <c r="C41" s="72" t="s">
        <v>94</v>
      </c>
      <c r="D41" s="7">
        <v>3109</v>
      </c>
      <c r="E41" s="1">
        <v>32</v>
      </c>
      <c r="M41" s="1">
        <v>32</v>
      </c>
    </row>
    <row r="42" spans="1:13" ht="16" thickBot="1" x14ac:dyDescent="0.25">
      <c r="A42" s="12">
        <v>44291</v>
      </c>
      <c r="B42" s="1" t="s">
        <v>95</v>
      </c>
      <c r="C42" s="72" t="s">
        <v>96</v>
      </c>
      <c r="D42" s="4">
        <v>1849</v>
      </c>
      <c r="E42" s="1">
        <v>12</v>
      </c>
      <c r="M42" s="1">
        <v>14</v>
      </c>
    </row>
    <row r="43" spans="1:13" ht="17" thickBot="1" x14ac:dyDescent="0.25">
      <c r="A43" s="11" t="s">
        <v>359</v>
      </c>
      <c r="B43" s="1" t="s">
        <v>97</v>
      </c>
      <c r="C43" s="72" t="s">
        <v>98</v>
      </c>
      <c r="D43" s="4">
        <v>2199</v>
      </c>
      <c r="E43" s="1">
        <v>44</v>
      </c>
      <c r="M43" s="1">
        <v>46</v>
      </c>
    </row>
    <row r="44" spans="1:13" ht="17" thickBot="1" x14ac:dyDescent="0.25">
      <c r="A44" s="11" t="s">
        <v>360</v>
      </c>
      <c r="B44" s="1" t="s">
        <v>99</v>
      </c>
      <c r="C44" s="72" t="s">
        <v>100</v>
      </c>
      <c r="D44" s="4">
        <v>2999</v>
      </c>
      <c r="E44" s="1">
        <v>13</v>
      </c>
      <c r="M44" s="1">
        <v>15</v>
      </c>
    </row>
    <row r="45" spans="1:13" ht="16" thickBot="1" x14ac:dyDescent="0.25">
      <c r="A45" s="12">
        <v>44444</v>
      </c>
      <c r="B45" s="1" t="s">
        <v>101</v>
      </c>
      <c r="C45" s="72" t="s">
        <v>102</v>
      </c>
      <c r="D45" s="4">
        <v>2899</v>
      </c>
      <c r="E45" s="1">
        <v>11</v>
      </c>
      <c r="M45" s="1">
        <v>12</v>
      </c>
    </row>
    <row r="46" spans="1:13" ht="17" thickBot="1" x14ac:dyDescent="0.25">
      <c r="A46" s="11" t="s">
        <v>354</v>
      </c>
      <c r="B46" s="1" t="s">
        <v>103</v>
      </c>
      <c r="C46" s="72" t="s">
        <v>104</v>
      </c>
      <c r="D46" s="4">
        <v>1699</v>
      </c>
      <c r="E46" s="1">
        <v>31</v>
      </c>
      <c r="M46" s="1">
        <v>31</v>
      </c>
    </row>
    <row r="47" spans="1:13" ht="16" thickBot="1" x14ac:dyDescent="0.25">
      <c r="A47" s="12">
        <v>44442</v>
      </c>
      <c r="B47" s="1" t="s">
        <v>105</v>
      </c>
      <c r="C47" s="72" t="s">
        <v>106</v>
      </c>
      <c r="D47" s="4">
        <v>3899</v>
      </c>
      <c r="E47" s="1">
        <v>23</v>
      </c>
      <c r="M47" s="1">
        <v>24</v>
      </c>
    </row>
    <row r="48" spans="1:13" ht="17" thickBot="1" x14ac:dyDescent="0.25">
      <c r="A48" s="11" t="s">
        <v>361</v>
      </c>
      <c r="B48" s="1" t="s">
        <v>107</v>
      </c>
      <c r="C48" s="72" t="s">
        <v>108</v>
      </c>
      <c r="D48" s="4">
        <v>3299</v>
      </c>
      <c r="E48" s="1">
        <v>48</v>
      </c>
      <c r="M48" s="1">
        <v>48</v>
      </c>
    </row>
    <row r="49" spans="1:13" ht="17" thickBot="1" x14ac:dyDescent="0.25">
      <c r="A49" s="11" t="s">
        <v>362</v>
      </c>
      <c r="B49" s="1" t="s">
        <v>109</v>
      </c>
      <c r="C49" s="72" t="s">
        <v>110</v>
      </c>
      <c r="D49" s="4">
        <v>6099</v>
      </c>
      <c r="E49" s="1">
        <v>13</v>
      </c>
      <c r="M49" s="1">
        <v>13</v>
      </c>
    </row>
    <row r="50" spans="1:13" ht="17" thickBot="1" x14ac:dyDescent="0.25">
      <c r="A50" s="11" t="s">
        <v>363</v>
      </c>
      <c r="B50" s="1" t="s">
        <v>111</v>
      </c>
      <c r="C50" s="72" t="s">
        <v>112</v>
      </c>
      <c r="D50" s="4">
        <v>3699</v>
      </c>
      <c r="E50" s="1">
        <v>3</v>
      </c>
      <c r="M50" s="1">
        <v>3</v>
      </c>
    </row>
    <row r="51" spans="1:13" ht="17" thickBot="1" x14ac:dyDescent="0.25">
      <c r="A51" s="11" t="s">
        <v>364</v>
      </c>
      <c r="B51" s="1" t="s">
        <v>113</v>
      </c>
      <c r="C51" s="72" t="s">
        <v>114</v>
      </c>
      <c r="D51" s="4">
        <v>3949</v>
      </c>
      <c r="E51" s="1">
        <v>32</v>
      </c>
      <c r="M51" s="1">
        <v>33</v>
      </c>
    </row>
    <row r="52" spans="1:13" ht="17" thickBot="1" x14ac:dyDescent="0.25">
      <c r="A52" s="11" t="s">
        <v>343</v>
      </c>
      <c r="B52" s="1" t="s">
        <v>115</v>
      </c>
      <c r="C52" s="72" t="s">
        <v>116</v>
      </c>
      <c r="D52" s="4">
        <v>4139</v>
      </c>
      <c r="E52" s="1">
        <v>45</v>
      </c>
      <c r="M52" s="1">
        <v>46</v>
      </c>
    </row>
    <row r="53" spans="1:13" ht="16" thickBot="1" x14ac:dyDescent="0.25">
      <c r="A53" s="12">
        <v>44379</v>
      </c>
      <c r="B53" s="1" t="s">
        <v>117</v>
      </c>
      <c r="C53" s="72" t="s">
        <v>118</v>
      </c>
      <c r="D53" s="4">
        <v>4225</v>
      </c>
      <c r="E53" s="1">
        <v>44</v>
      </c>
      <c r="M53" s="1">
        <v>46</v>
      </c>
    </row>
    <row r="54" spans="1:13" ht="16" thickBot="1" x14ac:dyDescent="0.25">
      <c r="A54" s="12">
        <v>44385</v>
      </c>
      <c r="B54" s="1" t="s">
        <v>119</v>
      </c>
      <c r="C54" s="72" t="s">
        <v>120</v>
      </c>
      <c r="D54" s="4">
        <v>2299</v>
      </c>
      <c r="E54" s="1">
        <v>47</v>
      </c>
      <c r="M54" s="1">
        <v>47</v>
      </c>
    </row>
    <row r="55" spans="1:13" ht="16" thickBot="1" x14ac:dyDescent="0.25">
      <c r="A55" s="12">
        <v>44414</v>
      </c>
      <c r="B55" s="1" t="s">
        <v>121</v>
      </c>
      <c r="C55" s="72" t="s">
        <v>122</v>
      </c>
      <c r="D55" s="4">
        <v>3059</v>
      </c>
      <c r="E55" s="1">
        <v>21</v>
      </c>
      <c r="M55" s="1">
        <v>22</v>
      </c>
    </row>
    <row r="56" spans="1:13" ht="17" thickBot="1" x14ac:dyDescent="0.25">
      <c r="A56" s="11" t="s">
        <v>365</v>
      </c>
      <c r="B56" s="1" t="s">
        <v>123</v>
      </c>
      <c r="C56" s="72" t="s">
        <v>124</v>
      </c>
      <c r="D56" s="4">
        <v>2199</v>
      </c>
      <c r="E56" s="1">
        <v>42</v>
      </c>
      <c r="M56" s="1">
        <v>44</v>
      </c>
    </row>
    <row r="57" spans="1:13" ht="17" thickBot="1" x14ac:dyDescent="0.25">
      <c r="A57" s="11" t="s">
        <v>366</v>
      </c>
      <c r="B57" s="1" t="s">
        <v>125</v>
      </c>
      <c r="C57" s="72" t="s">
        <v>126</v>
      </c>
      <c r="D57" s="4">
        <v>2999</v>
      </c>
      <c r="E57" s="1">
        <v>14</v>
      </c>
      <c r="M57" s="1">
        <v>14</v>
      </c>
    </row>
    <row r="58" spans="1:13" ht="17" thickBot="1" x14ac:dyDescent="0.25">
      <c r="A58" s="11" t="s">
        <v>367</v>
      </c>
      <c r="B58" s="1" t="s">
        <v>127</v>
      </c>
      <c r="C58" s="72" t="s">
        <v>128</v>
      </c>
      <c r="D58" s="4">
        <v>3699</v>
      </c>
      <c r="E58" s="1">
        <v>48</v>
      </c>
      <c r="M58" s="1">
        <v>50</v>
      </c>
    </row>
    <row r="59" spans="1:13" ht="17" thickBot="1" x14ac:dyDescent="0.25">
      <c r="A59" s="11" t="s">
        <v>368</v>
      </c>
      <c r="B59" s="1" t="s">
        <v>129</v>
      </c>
      <c r="C59" s="72" t="s">
        <v>130</v>
      </c>
      <c r="D59" s="4">
        <v>2399</v>
      </c>
      <c r="E59" s="1">
        <v>15</v>
      </c>
      <c r="M59" s="1">
        <v>15</v>
      </c>
    </row>
    <row r="60" spans="1:13" ht="16" thickBot="1" x14ac:dyDescent="0.25">
      <c r="A60" s="12">
        <v>44261</v>
      </c>
      <c r="B60" s="1" t="s">
        <v>131</v>
      </c>
      <c r="C60" s="72" t="s">
        <v>132</v>
      </c>
      <c r="D60" s="4">
        <v>2969</v>
      </c>
      <c r="E60" s="1">
        <v>44</v>
      </c>
      <c r="M60" s="1">
        <v>45</v>
      </c>
    </row>
    <row r="61" spans="1:13" ht="17" thickBot="1" x14ac:dyDescent="0.25">
      <c r="A61" s="11" t="s">
        <v>369</v>
      </c>
      <c r="B61" s="1" t="s">
        <v>133</v>
      </c>
      <c r="C61" s="72" t="s">
        <v>134</v>
      </c>
      <c r="D61" s="4">
        <v>5799</v>
      </c>
      <c r="E61" s="1">
        <v>14</v>
      </c>
      <c r="M61" s="1">
        <v>15</v>
      </c>
    </row>
    <row r="62" spans="1:13" ht="16" thickBot="1" x14ac:dyDescent="0.25">
      <c r="A62" s="12">
        <v>44325</v>
      </c>
      <c r="B62" t="s">
        <v>135</v>
      </c>
      <c r="C62" s="72" t="s">
        <v>136</v>
      </c>
      <c r="D62" s="7">
        <v>3999</v>
      </c>
      <c r="E62" s="1">
        <v>12</v>
      </c>
      <c r="M62" s="1">
        <v>12</v>
      </c>
    </row>
    <row r="63" spans="1:13" ht="17" thickBot="1" x14ac:dyDescent="0.25">
      <c r="A63" s="11" t="s">
        <v>370</v>
      </c>
      <c r="B63" t="s">
        <v>137</v>
      </c>
      <c r="C63" s="72" t="s">
        <v>138</v>
      </c>
      <c r="D63" s="7">
        <v>3199</v>
      </c>
      <c r="E63" s="1">
        <v>23</v>
      </c>
      <c r="M63" s="1">
        <v>23</v>
      </c>
    </row>
    <row r="64" spans="1:13" ht="17" thickBot="1" x14ac:dyDescent="0.25">
      <c r="A64" s="11" t="s">
        <v>371</v>
      </c>
      <c r="B64" t="s">
        <v>139</v>
      </c>
      <c r="C64" s="72" t="s">
        <v>140</v>
      </c>
      <c r="D64" s="7">
        <v>3099</v>
      </c>
      <c r="E64" s="1">
        <v>21</v>
      </c>
      <c r="M64" s="1">
        <v>21</v>
      </c>
    </row>
    <row r="65" spans="1:13" ht="17" thickBot="1" x14ac:dyDescent="0.25">
      <c r="A65" s="11" t="s">
        <v>372</v>
      </c>
      <c r="B65" t="s">
        <v>141</v>
      </c>
      <c r="C65" s="72" t="s">
        <v>142</v>
      </c>
      <c r="D65" s="7">
        <v>1549</v>
      </c>
      <c r="E65" s="1">
        <v>15</v>
      </c>
      <c r="M65" s="1">
        <v>16</v>
      </c>
    </row>
    <row r="66" spans="1:13" ht="17" thickBot="1" x14ac:dyDescent="0.25">
      <c r="A66" s="11" t="s">
        <v>373</v>
      </c>
      <c r="B66" t="s">
        <v>143</v>
      </c>
      <c r="C66" s="72" t="s">
        <v>144</v>
      </c>
      <c r="D66" s="7">
        <v>3299</v>
      </c>
      <c r="E66" s="1">
        <v>3</v>
      </c>
      <c r="M66" s="1">
        <v>3</v>
      </c>
    </row>
    <row r="67" spans="1:13" ht="16" thickBot="1" x14ac:dyDescent="0.25">
      <c r="A67" s="12">
        <v>44317</v>
      </c>
      <c r="B67" t="s">
        <v>145</v>
      </c>
      <c r="C67" s="72" t="s">
        <v>146</v>
      </c>
      <c r="D67" s="7">
        <v>1089</v>
      </c>
      <c r="E67" s="1">
        <v>25</v>
      </c>
      <c r="M67" s="1">
        <v>28</v>
      </c>
    </row>
    <row r="68" spans="1:13" ht="17" thickBot="1" x14ac:dyDescent="0.25">
      <c r="A68" s="11" t="s">
        <v>344</v>
      </c>
      <c r="B68" t="s">
        <v>147</v>
      </c>
      <c r="C68" s="72" t="s">
        <v>148</v>
      </c>
      <c r="D68" s="7">
        <v>2099</v>
      </c>
      <c r="E68" s="1">
        <v>10</v>
      </c>
      <c r="M68" s="1">
        <v>10</v>
      </c>
    </row>
    <row r="69" spans="1:13" ht="16" thickBot="1" x14ac:dyDescent="0.25">
      <c r="A69" s="12">
        <v>44508</v>
      </c>
      <c r="B69" t="s">
        <v>149</v>
      </c>
      <c r="C69" s="72" t="s">
        <v>150</v>
      </c>
      <c r="D69" s="7">
        <v>1499</v>
      </c>
      <c r="E69" s="1">
        <v>41</v>
      </c>
      <c r="M69" s="1">
        <v>42</v>
      </c>
    </row>
    <row r="70" spans="1:13" ht="17" thickBot="1" x14ac:dyDescent="0.25">
      <c r="A70" s="11" t="s">
        <v>374</v>
      </c>
      <c r="B70" t="s">
        <v>151</v>
      </c>
      <c r="C70" s="72" t="s">
        <v>152</v>
      </c>
      <c r="D70" s="7">
        <v>1479</v>
      </c>
      <c r="E70" s="1">
        <v>10</v>
      </c>
      <c r="M70" s="1">
        <v>10</v>
      </c>
    </row>
    <row r="71" spans="1:13" ht="16" thickBot="1" x14ac:dyDescent="0.25">
      <c r="A71" s="12">
        <v>44532</v>
      </c>
      <c r="B71" t="s">
        <v>153</v>
      </c>
      <c r="C71" s="72" t="s">
        <v>154</v>
      </c>
      <c r="D71" s="7">
        <v>1699</v>
      </c>
      <c r="E71" s="1">
        <v>27</v>
      </c>
      <c r="M71" s="1">
        <v>29</v>
      </c>
    </row>
    <row r="72" spans="1:13" ht="17" thickBot="1" x14ac:dyDescent="0.25">
      <c r="A72" s="11" t="s">
        <v>375</v>
      </c>
      <c r="B72" t="s">
        <v>155</v>
      </c>
      <c r="C72" s="72" t="s">
        <v>156</v>
      </c>
      <c r="D72" s="7">
        <v>3499</v>
      </c>
      <c r="E72" s="1">
        <v>20</v>
      </c>
      <c r="M72" s="1">
        <v>21</v>
      </c>
    </row>
    <row r="73" spans="1:13" ht="17" thickBot="1" x14ac:dyDescent="0.25">
      <c r="A73" s="11" t="s">
        <v>375</v>
      </c>
      <c r="B73" t="s">
        <v>157</v>
      </c>
      <c r="C73" s="72" t="s">
        <v>158</v>
      </c>
      <c r="D73" s="7">
        <v>2399</v>
      </c>
      <c r="E73" s="1">
        <v>15</v>
      </c>
      <c r="M73" s="1">
        <v>15</v>
      </c>
    </row>
    <row r="74" spans="1:13" ht="17" thickBot="1" x14ac:dyDescent="0.25">
      <c r="A74" s="11" t="s">
        <v>376</v>
      </c>
      <c r="B74" t="s">
        <v>159</v>
      </c>
      <c r="C74" s="72" t="s">
        <v>160</v>
      </c>
      <c r="D74" s="7">
        <v>3040</v>
      </c>
      <c r="E74" s="1">
        <v>43</v>
      </c>
      <c r="M74" s="1">
        <v>43</v>
      </c>
    </row>
    <row r="75" spans="1:13" ht="16" thickBot="1" x14ac:dyDescent="0.25">
      <c r="A75" s="12">
        <v>44231</v>
      </c>
      <c r="B75" t="s">
        <v>161</v>
      </c>
      <c r="C75" s="72" t="s">
        <v>162</v>
      </c>
      <c r="D75" s="7">
        <v>2477</v>
      </c>
      <c r="E75" s="1">
        <v>37</v>
      </c>
      <c r="M75" s="1">
        <v>38</v>
      </c>
    </row>
    <row r="76" spans="1:13" ht="17" thickBot="1" x14ac:dyDescent="0.25">
      <c r="A76" s="11" t="s">
        <v>377</v>
      </c>
      <c r="B76" t="s">
        <v>163</v>
      </c>
      <c r="C76" s="72" t="s">
        <v>164</v>
      </c>
      <c r="D76" s="7">
        <v>1747</v>
      </c>
      <c r="E76" s="1">
        <v>18</v>
      </c>
      <c r="M76" s="1">
        <v>20</v>
      </c>
    </row>
    <row r="77" spans="1:13" ht="16" thickBot="1" x14ac:dyDescent="0.25">
      <c r="A77" s="12">
        <v>44533</v>
      </c>
      <c r="B77" s="1" t="s">
        <v>165</v>
      </c>
      <c r="C77" s="72" t="s">
        <v>166</v>
      </c>
      <c r="D77" s="7">
        <v>1599</v>
      </c>
      <c r="E77" s="1">
        <v>9</v>
      </c>
      <c r="M77" s="1">
        <v>14</v>
      </c>
    </row>
    <row r="78" spans="1:13" ht="17" thickBot="1" x14ac:dyDescent="0.25">
      <c r="A78" s="11" t="s">
        <v>354</v>
      </c>
      <c r="B78" t="s">
        <v>167</v>
      </c>
      <c r="C78" s="72" t="s">
        <v>168</v>
      </c>
      <c r="D78" s="7">
        <v>1659</v>
      </c>
      <c r="E78" s="1">
        <v>37</v>
      </c>
      <c r="M78" s="1">
        <v>37</v>
      </c>
    </row>
    <row r="79" spans="1:13" ht="16" thickBot="1" x14ac:dyDescent="0.25">
      <c r="A79" s="12">
        <v>44207</v>
      </c>
      <c r="B79" t="s">
        <v>169</v>
      </c>
      <c r="C79" s="72" t="s">
        <v>170</v>
      </c>
      <c r="D79" s="7">
        <v>1489</v>
      </c>
      <c r="E79" s="1">
        <v>38</v>
      </c>
      <c r="M79" s="1">
        <v>38</v>
      </c>
    </row>
    <row r="80" spans="1:13" ht="17" thickBot="1" x14ac:dyDescent="0.25">
      <c r="A80" s="11" t="s">
        <v>378</v>
      </c>
      <c r="B80" t="s">
        <v>171</v>
      </c>
      <c r="C80" s="72" t="s">
        <v>172</v>
      </c>
      <c r="D80" s="7">
        <v>2549</v>
      </c>
      <c r="E80" s="1">
        <v>31</v>
      </c>
      <c r="M80" s="1">
        <v>31</v>
      </c>
    </row>
    <row r="81" spans="1:13" ht="17" thickBot="1" x14ac:dyDescent="0.25">
      <c r="A81" s="11" t="s">
        <v>379</v>
      </c>
      <c r="B81" t="s">
        <v>173</v>
      </c>
      <c r="C81" s="72" t="s">
        <v>174</v>
      </c>
      <c r="D81" s="7">
        <v>3069</v>
      </c>
      <c r="E81" s="1">
        <v>12</v>
      </c>
      <c r="M81" s="1">
        <v>15</v>
      </c>
    </row>
    <row r="82" spans="1:13" ht="16" thickBot="1" x14ac:dyDescent="0.25">
      <c r="A82" s="12">
        <v>44266</v>
      </c>
      <c r="B82" t="s">
        <v>175</v>
      </c>
      <c r="C82" s="72" t="s">
        <v>176</v>
      </c>
      <c r="D82" s="7">
        <v>1299</v>
      </c>
      <c r="E82" s="1">
        <v>7</v>
      </c>
      <c r="M82" s="1">
        <v>7</v>
      </c>
    </row>
    <row r="83" spans="1:13" ht="16" thickBot="1" x14ac:dyDescent="0.25">
      <c r="A83" s="12">
        <v>44480</v>
      </c>
      <c r="B83" t="s">
        <v>177</v>
      </c>
      <c r="C83" s="72" t="s">
        <v>178</v>
      </c>
      <c r="D83" s="7">
        <v>3455</v>
      </c>
      <c r="E83" s="1">
        <v>7</v>
      </c>
      <c r="M83" s="1">
        <v>7</v>
      </c>
    </row>
    <row r="84" spans="1:13" ht="16" thickBot="1" x14ac:dyDescent="0.25">
      <c r="A84" s="12">
        <v>44322</v>
      </c>
      <c r="B84" t="s">
        <v>179</v>
      </c>
      <c r="C84" s="72" t="s">
        <v>180</v>
      </c>
      <c r="D84" s="7">
        <v>1759</v>
      </c>
      <c r="E84" s="1">
        <v>16</v>
      </c>
      <c r="M84" s="1">
        <v>18</v>
      </c>
    </row>
    <row r="85" spans="1:13" ht="16" thickBot="1" x14ac:dyDescent="0.25">
      <c r="A85" s="12">
        <v>44298</v>
      </c>
      <c r="B85" t="s">
        <v>181</v>
      </c>
      <c r="C85" s="72" t="s">
        <v>182</v>
      </c>
      <c r="D85" s="7">
        <v>2299</v>
      </c>
      <c r="E85" s="1">
        <v>33</v>
      </c>
      <c r="M85" s="1">
        <v>35</v>
      </c>
    </row>
    <row r="86" spans="1:13" ht="16" thickBot="1" x14ac:dyDescent="0.25">
      <c r="A86" s="12">
        <v>44541</v>
      </c>
      <c r="B86" s="1" t="s">
        <v>183</v>
      </c>
      <c r="C86" s="72" t="s">
        <v>184</v>
      </c>
      <c r="D86" s="7">
        <v>2219</v>
      </c>
      <c r="E86" s="1">
        <v>43</v>
      </c>
      <c r="M86" s="1">
        <v>44</v>
      </c>
    </row>
    <row r="87" spans="1:13" ht="16" thickBot="1" x14ac:dyDescent="0.25">
      <c r="A87" s="12">
        <v>44239</v>
      </c>
      <c r="B87" s="1" t="s">
        <v>185</v>
      </c>
      <c r="C87" s="72" t="s">
        <v>186</v>
      </c>
      <c r="D87" s="7">
        <v>1459</v>
      </c>
      <c r="E87" s="1">
        <v>46</v>
      </c>
      <c r="M87" s="1">
        <v>48</v>
      </c>
    </row>
    <row r="88" spans="1:13" ht="16" thickBot="1" x14ac:dyDescent="0.25">
      <c r="A88" s="12">
        <v>44386</v>
      </c>
      <c r="B88" s="1" t="s">
        <v>187</v>
      </c>
      <c r="C88" s="72" t="s">
        <v>188</v>
      </c>
      <c r="D88" s="7">
        <v>1049</v>
      </c>
      <c r="E88" s="1">
        <v>3</v>
      </c>
      <c r="M88" s="1">
        <v>4</v>
      </c>
    </row>
    <row r="89" spans="1:13" ht="16" thickBot="1" x14ac:dyDescent="0.25">
      <c r="A89" s="12">
        <v>44417</v>
      </c>
      <c r="B89" t="s">
        <v>189</v>
      </c>
      <c r="C89" s="72" t="s">
        <v>190</v>
      </c>
      <c r="D89" s="7">
        <v>2035</v>
      </c>
      <c r="E89" s="1">
        <v>15</v>
      </c>
      <c r="M89" s="1">
        <v>17</v>
      </c>
    </row>
    <row r="90" spans="1:13" ht="17" thickBot="1" x14ac:dyDescent="0.25">
      <c r="A90" s="11" t="s">
        <v>380</v>
      </c>
      <c r="B90" t="s">
        <v>191</v>
      </c>
      <c r="C90" s="72" t="s">
        <v>192</v>
      </c>
      <c r="D90" s="7">
        <v>3942</v>
      </c>
      <c r="E90" s="1">
        <v>39</v>
      </c>
      <c r="M90" s="1">
        <v>39</v>
      </c>
    </row>
    <row r="91" spans="1:13" ht="17" thickBot="1" x14ac:dyDescent="0.25">
      <c r="A91" s="11" t="s">
        <v>381</v>
      </c>
      <c r="B91" t="s">
        <v>193</v>
      </c>
      <c r="C91" s="72" t="s">
        <v>194</v>
      </c>
      <c r="D91" s="7">
        <v>4520</v>
      </c>
      <c r="E91" s="1">
        <v>37</v>
      </c>
      <c r="M91" s="1">
        <v>38</v>
      </c>
    </row>
    <row r="92" spans="1:13" ht="17" thickBot="1" x14ac:dyDescent="0.25">
      <c r="A92" s="11" t="s">
        <v>382</v>
      </c>
      <c r="B92" s="1" t="s">
        <v>195</v>
      </c>
      <c r="C92" s="72" t="s">
        <v>196</v>
      </c>
      <c r="D92" s="7">
        <v>2811</v>
      </c>
      <c r="E92" s="1">
        <v>7</v>
      </c>
      <c r="M92" s="1">
        <v>7</v>
      </c>
    </row>
    <row r="93" spans="1:13" ht="17" thickBot="1" x14ac:dyDescent="0.25">
      <c r="A93" s="11" t="s">
        <v>349</v>
      </c>
      <c r="B93" s="1" t="s">
        <v>197</v>
      </c>
      <c r="C93" s="72" t="s">
        <v>198</v>
      </c>
      <c r="D93" s="7">
        <v>1374</v>
      </c>
      <c r="E93" s="1">
        <v>6</v>
      </c>
      <c r="M93" s="1">
        <v>6</v>
      </c>
    </row>
    <row r="94" spans="1:13" ht="16" thickBot="1" x14ac:dyDescent="0.25">
      <c r="A94" s="12">
        <v>44531</v>
      </c>
      <c r="B94" s="1" t="s">
        <v>199</v>
      </c>
      <c r="C94" s="72" t="s">
        <v>200</v>
      </c>
      <c r="D94" s="7">
        <v>3178</v>
      </c>
      <c r="E94" s="1">
        <v>38</v>
      </c>
      <c r="M94" s="1">
        <v>39</v>
      </c>
    </row>
    <row r="95" spans="1:13" ht="16" thickBot="1" x14ac:dyDescent="0.25">
      <c r="A95" s="12">
        <v>44353</v>
      </c>
      <c r="B95" s="1" t="s">
        <v>201</v>
      </c>
      <c r="C95" s="72" t="s">
        <v>202</v>
      </c>
      <c r="D95" s="7">
        <v>2096</v>
      </c>
      <c r="E95" s="1">
        <v>12</v>
      </c>
      <c r="M95" s="1">
        <v>12</v>
      </c>
    </row>
    <row r="96" spans="1:13" ht="17" thickBot="1" x14ac:dyDescent="0.25">
      <c r="A96" s="11" t="s">
        <v>342</v>
      </c>
      <c r="B96" s="1" t="s">
        <v>203</v>
      </c>
      <c r="C96" s="72" t="s">
        <v>204</v>
      </c>
      <c r="D96" s="7">
        <v>1559</v>
      </c>
      <c r="E96" s="1">
        <v>35</v>
      </c>
      <c r="M96" s="1">
        <v>37</v>
      </c>
    </row>
    <row r="97" spans="1:13" ht="16" thickBot="1" x14ac:dyDescent="0.25">
      <c r="A97" s="12">
        <v>44380</v>
      </c>
      <c r="B97" s="1" t="s">
        <v>205</v>
      </c>
      <c r="C97" s="72" t="s">
        <v>206</v>
      </c>
      <c r="D97" s="7">
        <v>1299</v>
      </c>
      <c r="E97" s="1">
        <v>31</v>
      </c>
      <c r="M97" s="1">
        <v>32</v>
      </c>
    </row>
    <row r="98" spans="1:13" ht="16" thickBot="1" x14ac:dyDescent="0.25">
      <c r="A98" s="12">
        <v>44203</v>
      </c>
      <c r="B98" s="1" t="s">
        <v>207</v>
      </c>
      <c r="C98" s="72" t="s">
        <v>208</v>
      </c>
      <c r="D98" s="7">
        <v>3509</v>
      </c>
      <c r="E98" s="1">
        <v>31</v>
      </c>
      <c r="M98" s="1">
        <v>32</v>
      </c>
    </row>
    <row r="99" spans="1:13" ht="16" thickBot="1" x14ac:dyDescent="0.25">
      <c r="A99" s="12">
        <v>44325</v>
      </c>
      <c r="B99" s="1" t="s">
        <v>209</v>
      </c>
      <c r="C99" s="72" t="s">
        <v>210</v>
      </c>
      <c r="D99" s="7">
        <v>2999</v>
      </c>
      <c r="E99" s="1">
        <v>4</v>
      </c>
      <c r="M99" s="1">
        <v>4</v>
      </c>
    </row>
    <row r="100" spans="1:13" ht="16" thickBot="1" x14ac:dyDescent="0.25">
      <c r="A100" s="12">
        <v>44478</v>
      </c>
      <c r="B100" s="1" t="s">
        <v>211</v>
      </c>
      <c r="C100" s="72" t="s">
        <v>212</v>
      </c>
      <c r="D100" s="7">
        <v>2099</v>
      </c>
      <c r="E100" s="1">
        <v>14</v>
      </c>
      <c r="M100" s="1">
        <v>15</v>
      </c>
    </row>
    <row r="101" spans="1:13" ht="17" thickBot="1" x14ac:dyDescent="0.25">
      <c r="A101" s="11" t="s">
        <v>383</v>
      </c>
      <c r="B101" s="1" t="s">
        <v>213</v>
      </c>
      <c r="C101" s="72" t="s">
        <v>214</v>
      </c>
      <c r="D101" s="7">
        <v>1759</v>
      </c>
      <c r="E101" s="1">
        <v>3</v>
      </c>
      <c r="M101" s="1">
        <v>3</v>
      </c>
    </row>
    <row r="102" spans="1:13" ht="16" thickBot="1" x14ac:dyDescent="0.25">
      <c r="A102" s="12">
        <v>44327</v>
      </c>
      <c r="B102" t="s">
        <v>215</v>
      </c>
      <c r="C102" s="72" t="s">
        <v>216</v>
      </c>
      <c r="D102" s="8">
        <v>199</v>
      </c>
      <c r="E102" s="1">
        <v>18</v>
      </c>
      <c r="M102" s="1">
        <v>18</v>
      </c>
    </row>
    <row r="103" spans="1:13" ht="17" thickBot="1" x14ac:dyDescent="0.25">
      <c r="A103" s="11" t="s">
        <v>372</v>
      </c>
      <c r="B103" t="s">
        <v>217</v>
      </c>
      <c r="C103" s="72" t="s">
        <v>218</v>
      </c>
      <c r="D103" s="8">
        <v>349</v>
      </c>
      <c r="E103" s="1">
        <v>31</v>
      </c>
      <c r="M103" s="1">
        <v>31</v>
      </c>
    </row>
    <row r="104" spans="1:13" ht="17" thickBot="1" x14ac:dyDescent="0.25">
      <c r="A104" s="11" t="s">
        <v>384</v>
      </c>
      <c r="B104" t="s">
        <v>219</v>
      </c>
      <c r="C104" s="72" t="s">
        <v>220</v>
      </c>
      <c r="D104" s="8">
        <v>114</v>
      </c>
      <c r="E104" s="1">
        <v>38</v>
      </c>
      <c r="M104" s="1">
        <v>38</v>
      </c>
    </row>
    <row r="105" spans="1:13" ht="16" thickBot="1" x14ac:dyDescent="0.25">
      <c r="A105" s="12">
        <v>44233</v>
      </c>
      <c r="B105" t="s">
        <v>221</v>
      </c>
      <c r="C105" s="72" t="s">
        <v>222</v>
      </c>
      <c r="D105" s="8">
        <v>184</v>
      </c>
      <c r="E105" s="1">
        <v>7</v>
      </c>
      <c r="M105" s="1">
        <v>7</v>
      </c>
    </row>
    <row r="106" spans="1:13" ht="16" thickBot="1" x14ac:dyDescent="0.25">
      <c r="A106" s="12">
        <v>44348</v>
      </c>
      <c r="B106" t="s">
        <v>223</v>
      </c>
      <c r="C106" s="72" t="s">
        <v>224</v>
      </c>
      <c r="D106" s="8">
        <v>99</v>
      </c>
      <c r="E106" s="1">
        <v>10</v>
      </c>
      <c r="M106" s="1">
        <v>20</v>
      </c>
    </row>
    <row r="107" spans="1:13" ht="17" thickBot="1" x14ac:dyDescent="0.25">
      <c r="A107" s="11" t="s">
        <v>370</v>
      </c>
      <c r="B107" t="s">
        <v>225</v>
      </c>
      <c r="C107" s="72" t="s">
        <v>226</v>
      </c>
      <c r="D107" s="8">
        <v>59</v>
      </c>
      <c r="E107" s="1">
        <v>6</v>
      </c>
      <c r="M107" s="1">
        <v>6</v>
      </c>
    </row>
    <row r="108" spans="1:13" ht="17" thickBot="1" x14ac:dyDescent="0.25">
      <c r="A108" s="11" t="s">
        <v>344</v>
      </c>
      <c r="B108" t="s">
        <v>227</v>
      </c>
      <c r="C108" s="72" t="s">
        <v>228</v>
      </c>
      <c r="D108" s="8">
        <v>397</v>
      </c>
      <c r="E108" s="1">
        <v>39</v>
      </c>
      <c r="M108" s="1">
        <v>39</v>
      </c>
    </row>
    <row r="109" spans="1:13" ht="16" thickBot="1" x14ac:dyDescent="0.25">
      <c r="A109" s="12">
        <v>44354</v>
      </c>
      <c r="B109" t="s">
        <v>229</v>
      </c>
      <c r="C109" s="72" t="s">
        <v>230</v>
      </c>
      <c r="D109" s="8">
        <v>999</v>
      </c>
      <c r="E109" s="1">
        <v>27</v>
      </c>
      <c r="M109" s="1">
        <v>27</v>
      </c>
    </row>
    <row r="110" spans="1:13" ht="17" thickBot="1" x14ac:dyDescent="0.25">
      <c r="A110" s="11" t="s">
        <v>385</v>
      </c>
      <c r="B110" t="s">
        <v>231</v>
      </c>
      <c r="C110" s="72" t="s">
        <v>232</v>
      </c>
      <c r="D110" s="8">
        <v>2899</v>
      </c>
      <c r="E110" s="1">
        <v>46</v>
      </c>
      <c r="M110" s="1">
        <v>46</v>
      </c>
    </row>
    <row r="111" spans="1:13" ht="17" thickBot="1" x14ac:dyDescent="0.25">
      <c r="A111" s="11" t="s">
        <v>386</v>
      </c>
      <c r="B111" t="s">
        <v>233</v>
      </c>
      <c r="C111" s="72" t="s">
        <v>234</v>
      </c>
      <c r="D111" s="8">
        <v>378</v>
      </c>
      <c r="E111" s="1">
        <v>25</v>
      </c>
      <c r="M111" s="1">
        <v>27</v>
      </c>
    </row>
    <row r="112" spans="1:13" ht="16" thickBot="1" x14ac:dyDescent="0.25">
      <c r="A112" s="12">
        <v>44327</v>
      </c>
      <c r="B112" t="s">
        <v>235</v>
      </c>
      <c r="C112" s="72" t="s">
        <v>236</v>
      </c>
      <c r="D112" s="8">
        <v>134</v>
      </c>
      <c r="E112" s="1">
        <v>24</v>
      </c>
      <c r="M112" s="1">
        <v>24</v>
      </c>
    </row>
    <row r="113" spans="1:13" ht="17" thickBot="1" x14ac:dyDescent="0.25">
      <c r="A113" s="11" t="s">
        <v>387</v>
      </c>
      <c r="B113" t="s">
        <v>237</v>
      </c>
      <c r="C113" s="72" t="s">
        <v>238</v>
      </c>
      <c r="D113" s="8">
        <v>99</v>
      </c>
      <c r="E113" s="1">
        <v>7</v>
      </c>
      <c r="M113" s="1">
        <v>7</v>
      </c>
    </row>
    <row r="114" spans="1:13" ht="17" thickBot="1" x14ac:dyDescent="0.25">
      <c r="A114" s="11" t="s">
        <v>388</v>
      </c>
      <c r="B114" t="s">
        <v>239</v>
      </c>
      <c r="C114" s="72" t="s">
        <v>240</v>
      </c>
      <c r="D114" s="8">
        <v>288</v>
      </c>
      <c r="E114" s="1">
        <v>9</v>
      </c>
      <c r="M114" s="1">
        <v>9</v>
      </c>
    </row>
    <row r="115" spans="1:13" ht="16" thickBot="1" x14ac:dyDescent="0.25">
      <c r="A115" s="12">
        <v>44235</v>
      </c>
      <c r="B115" t="s">
        <v>241</v>
      </c>
      <c r="C115" s="72" t="s">
        <v>242</v>
      </c>
      <c r="D115" s="8">
        <v>109</v>
      </c>
      <c r="E115" s="1">
        <v>30</v>
      </c>
      <c r="M115" s="1">
        <v>39</v>
      </c>
    </row>
    <row r="116" spans="1:13" ht="16" thickBot="1" x14ac:dyDescent="0.25">
      <c r="A116" s="12">
        <v>44418</v>
      </c>
      <c r="B116" t="s">
        <v>243</v>
      </c>
      <c r="C116" s="72" t="s">
        <v>244</v>
      </c>
      <c r="D116" s="8">
        <v>199</v>
      </c>
      <c r="E116" s="1">
        <v>33</v>
      </c>
      <c r="M116" s="1">
        <v>36</v>
      </c>
    </row>
    <row r="117" spans="1:13" ht="17" thickBot="1" x14ac:dyDescent="0.25">
      <c r="A117" s="11" t="s">
        <v>366</v>
      </c>
      <c r="B117" t="s">
        <v>245</v>
      </c>
      <c r="C117" s="72" t="s">
        <v>246</v>
      </c>
      <c r="D117" s="8">
        <v>279</v>
      </c>
      <c r="E117" s="1">
        <v>49</v>
      </c>
      <c r="M117" s="1">
        <v>49</v>
      </c>
    </row>
    <row r="118" spans="1:13" ht="16" thickBot="1" x14ac:dyDescent="0.25">
      <c r="A118" s="12">
        <v>44290</v>
      </c>
      <c r="B118" t="s">
        <v>247</v>
      </c>
      <c r="C118" s="72" t="s">
        <v>248</v>
      </c>
      <c r="D118" s="8">
        <v>165</v>
      </c>
      <c r="E118" s="1">
        <v>7</v>
      </c>
      <c r="M118" s="1">
        <v>17</v>
      </c>
    </row>
    <row r="119" spans="1:13" ht="17" thickBot="1" x14ac:dyDescent="0.25">
      <c r="A119" s="11" t="s">
        <v>389</v>
      </c>
      <c r="B119" t="s">
        <v>249</v>
      </c>
      <c r="C119" s="72" t="s">
        <v>250</v>
      </c>
      <c r="D119" s="8">
        <v>215</v>
      </c>
      <c r="E119" s="1">
        <v>35</v>
      </c>
      <c r="M119" s="1">
        <v>35</v>
      </c>
    </row>
    <row r="120" spans="1:13" ht="16" thickBot="1" x14ac:dyDescent="0.25">
      <c r="A120" s="12">
        <v>44511</v>
      </c>
      <c r="B120" t="s">
        <v>251</v>
      </c>
      <c r="C120" s="72" t="s">
        <v>252</v>
      </c>
      <c r="D120" s="8">
        <v>255</v>
      </c>
      <c r="E120" s="1">
        <v>47</v>
      </c>
      <c r="M120" s="1">
        <v>47</v>
      </c>
    </row>
    <row r="121" spans="1:13" ht="16" thickBot="1" x14ac:dyDescent="0.25">
      <c r="A121" s="12">
        <v>44349</v>
      </c>
      <c r="B121" t="s">
        <v>253</v>
      </c>
      <c r="C121" s="72" t="s">
        <v>254</v>
      </c>
      <c r="D121" s="8">
        <v>609</v>
      </c>
      <c r="E121" s="1">
        <v>15</v>
      </c>
      <c r="M121" s="1">
        <v>20</v>
      </c>
    </row>
    <row r="122" spans="1:13" ht="16" thickBot="1" x14ac:dyDescent="0.25">
      <c r="A122" s="12">
        <v>44412</v>
      </c>
      <c r="B122" s="1" t="s">
        <v>255</v>
      </c>
      <c r="C122" s="72" t="s">
        <v>256</v>
      </c>
      <c r="D122" s="7">
        <v>359</v>
      </c>
      <c r="E122" s="1">
        <v>41</v>
      </c>
      <c r="M122" s="1">
        <v>41</v>
      </c>
    </row>
    <row r="123" spans="1:13" ht="17" thickBot="1" x14ac:dyDescent="0.25">
      <c r="A123" s="11" t="s">
        <v>390</v>
      </c>
      <c r="B123" s="1" t="s">
        <v>257</v>
      </c>
      <c r="C123" s="72" t="s">
        <v>258</v>
      </c>
      <c r="D123" s="9">
        <v>429</v>
      </c>
      <c r="E123" s="1">
        <v>44</v>
      </c>
      <c r="M123" s="1">
        <v>44</v>
      </c>
    </row>
    <row r="124" spans="1:13" ht="17" thickBot="1" x14ac:dyDescent="0.25">
      <c r="A124" s="11" t="s">
        <v>391</v>
      </c>
      <c r="B124" s="1" t="s">
        <v>259</v>
      </c>
      <c r="C124" s="72" t="s">
        <v>260</v>
      </c>
      <c r="D124" s="4">
        <v>479</v>
      </c>
      <c r="E124" s="1">
        <v>35</v>
      </c>
      <c r="M124" s="1">
        <v>38</v>
      </c>
    </row>
    <row r="125" spans="1:13" ht="17" thickBot="1" x14ac:dyDescent="0.25">
      <c r="A125" s="11" t="s">
        <v>392</v>
      </c>
      <c r="B125" s="1" t="s">
        <v>261</v>
      </c>
      <c r="C125" s="72" t="s">
        <v>262</v>
      </c>
      <c r="D125" s="4">
        <v>1809</v>
      </c>
      <c r="E125" s="1">
        <v>13</v>
      </c>
      <c r="M125" s="1">
        <v>16</v>
      </c>
    </row>
    <row r="126" spans="1:13" ht="17" thickBot="1" x14ac:dyDescent="0.25">
      <c r="A126" s="11" t="s">
        <v>393</v>
      </c>
      <c r="B126" s="1" t="s">
        <v>263</v>
      </c>
      <c r="C126" s="72" t="s">
        <v>264</v>
      </c>
      <c r="D126" s="4">
        <v>409</v>
      </c>
      <c r="E126" s="1">
        <v>24</v>
      </c>
      <c r="M126" s="1">
        <v>24</v>
      </c>
    </row>
    <row r="127" spans="1:13" ht="17" thickBot="1" x14ac:dyDescent="0.25">
      <c r="A127" s="11" t="s">
        <v>394</v>
      </c>
      <c r="B127" s="1" t="s">
        <v>265</v>
      </c>
      <c r="C127" s="72" t="s">
        <v>266</v>
      </c>
      <c r="D127" s="4">
        <v>999</v>
      </c>
      <c r="E127" s="1">
        <v>33</v>
      </c>
      <c r="M127" s="1">
        <v>33</v>
      </c>
    </row>
    <row r="128" spans="1:13" ht="16" thickBot="1" x14ac:dyDescent="0.25">
      <c r="A128" s="12">
        <v>44291</v>
      </c>
      <c r="B128" s="1" t="s">
        <v>267</v>
      </c>
      <c r="C128" s="72" t="s">
        <v>268</v>
      </c>
      <c r="D128" s="4">
        <v>399</v>
      </c>
      <c r="E128" s="1">
        <v>20</v>
      </c>
      <c r="M128" s="1">
        <v>20</v>
      </c>
    </row>
    <row r="129" spans="1:13" ht="16" thickBot="1" x14ac:dyDescent="0.25">
      <c r="A129" s="12">
        <v>44448</v>
      </c>
      <c r="B129" s="1" t="s">
        <v>269</v>
      </c>
      <c r="C129" s="72" t="s">
        <v>270</v>
      </c>
      <c r="D129" s="4">
        <v>319</v>
      </c>
      <c r="E129" s="1">
        <v>38</v>
      </c>
      <c r="M129" s="1">
        <v>43</v>
      </c>
    </row>
    <row r="130" spans="1:13" ht="17" thickBot="1" x14ac:dyDescent="0.25">
      <c r="A130" s="11" t="s">
        <v>395</v>
      </c>
      <c r="B130" s="1" t="s">
        <v>271</v>
      </c>
      <c r="C130" t="s">
        <v>272</v>
      </c>
      <c r="D130" s="4">
        <v>619</v>
      </c>
      <c r="E130" s="1">
        <v>35</v>
      </c>
      <c r="M130" s="1">
        <v>35</v>
      </c>
    </row>
    <row r="131" spans="1:13" ht="17" thickBot="1" x14ac:dyDescent="0.25">
      <c r="A131" s="11" t="s">
        <v>394</v>
      </c>
      <c r="B131" s="1" t="s">
        <v>273</v>
      </c>
      <c r="C131" t="s">
        <v>274</v>
      </c>
      <c r="D131" s="4">
        <v>639</v>
      </c>
      <c r="E131" s="1">
        <v>38</v>
      </c>
      <c r="M131" s="1">
        <v>38</v>
      </c>
    </row>
    <row r="132" spans="1:13" ht="17" thickBot="1" x14ac:dyDescent="0.25">
      <c r="A132" s="11" t="s">
        <v>396</v>
      </c>
      <c r="B132" s="1" t="s">
        <v>275</v>
      </c>
      <c r="C132" s="1" t="s">
        <v>276</v>
      </c>
      <c r="D132" s="4">
        <v>1999</v>
      </c>
      <c r="E132" s="1">
        <v>4</v>
      </c>
      <c r="M132" s="1">
        <v>5</v>
      </c>
    </row>
    <row r="133" spans="1:13" ht="17" thickBot="1" x14ac:dyDescent="0.25">
      <c r="A133" s="11" t="s">
        <v>397</v>
      </c>
      <c r="B133" s="1" t="s">
        <v>277</v>
      </c>
      <c r="C133" s="72" t="s">
        <v>278</v>
      </c>
      <c r="D133" s="4">
        <v>1017</v>
      </c>
      <c r="E133" s="1">
        <v>11</v>
      </c>
      <c r="M133" s="1">
        <v>11</v>
      </c>
    </row>
    <row r="134" spans="1:13" ht="16" thickBot="1" x14ac:dyDescent="0.25">
      <c r="A134" s="12">
        <v>44538</v>
      </c>
      <c r="B134" s="1" t="s">
        <v>279</v>
      </c>
      <c r="C134" s="72" t="s">
        <v>280</v>
      </c>
      <c r="D134" s="4">
        <v>799</v>
      </c>
      <c r="E134" s="1">
        <v>39</v>
      </c>
      <c r="M134" s="1">
        <v>43</v>
      </c>
    </row>
    <row r="135" spans="1:13" ht="17" thickBot="1" x14ac:dyDescent="0.25">
      <c r="A135" s="11" t="s">
        <v>363</v>
      </c>
      <c r="B135" s="1" t="s">
        <v>281</v>
      </c>
      <c r="C135" s="72" t="s">
        <v>282</v>
      </c>
      <c r="D135" s="4">
        <v>862</v>
      </c>
      <c r="E135" s="1">
        <v>40</v>
      </c>
      <c r="M135" s="1">
        <v>45</v>
      </c>
    </row>
    <row r="136" spans="1:13" ht="16" thickBot="1" x14ac:dyDescent="0.25">
      <c r="A136" s="12">
        <v>44471</v>
      </c>
      <c r="B136" s="1" t="s">
        <v>283</v>
      </c>
      <c r="C136" s="72" t="s">
        <v>284</v>
      </c>
      <c r="D136" s="4">
        <v>1329</v>
      </c>
      <c r="E136" s="1">
        <v>14</v>
      </c>
      <c r="M136" s="1">
        <v>14</v>
      </c>
    </row>
    <row r="137" spans="1:13" ht="17" thickBot="1" x14ac:dyDescent="0.25">
      <c r="A137" s="11" t="s">
        <v>398</v>
      </c>
      <c r="B137" s="1" t="s">
        <v>285</v>
      </c>
      <c r="C137" s="72" t="s">
        <v>286</v>
      </c>
      <c r="D137" s="4">
        <v>745</v>
      </c>
      <c r="E137" s="1">
        <v>6</v>
      </c>
      <c r="M137" s="1">
        <v>6</v>
      </c>
    </row>
    <row r="138" spans="1:13" ht="17" thickBot="1" x14ac:dyDescent="0.25">
      <c r="A138" s="11" t="s">
        <v>399</v>
      </c>
      <c r="B138" s="1" t="s">
        <v>287</v>
      </c>
      <c r="C138" s="72" t="s">
        <v>288</v>
      </c>
      <c r="D138" s="4">
        <v>359</v>
      </c>
      <c r="E138" s="1">
        <v>29</v>
      </c>
      <c r="M138" s="1">
        <v>37</v>
      </c>
    </row>
    <row r="139" spans="1:13" ht="17" thickBot="1" x14ac:dyDescent="0.25">
      <c r="A139" s="11" t="s">
        <v>363</v>
      </c>
      <c r="B139" s="1" t="s">
        <v>289</v>
      </c>
      <c r="C139" s="72" t="s">
        <v>290</v>
      </c>
      <c r="D139" s="4">
        <v>259</v>
      </c>
      <c r="E139" s="1">
        <v>33</v>
      </c>
      <c r="M139" s="1">
        <v>40</v>
      </c>
    </row>
    <row r="140" spans="1:13" ht="16" thickBot="1" x14ac:dyDescent="0.25">
      <c r="A140" s="12">
        <v>44533</v>
      </c>
      <c r="B140" s="1" t="s">
        <v>291</v>
      </c>
      <c r="C140" s="72" t="s">
        <v>292</v>
      </c>
      <c r="D140" s="4">
        <v>999</v>
      </c>
      <c r="E140" s="1">
        <v>3</v>
      </c>
      <c r="M140" s="1">
        <v>4</v>
      </c>
    </row>
    <row r="141" spans="1:13" ht="17" thickBot="1" x14ac:dyDescent="0.25">
      <c r="A141" s="11" t="s">
        <v>400</v>
      </c>
      <c r="B141" s="1" t="s">
        <v>293</v>
      </c>
      <c r="C141" s="72" t="s">
        <v>294</v>
      </c>
      <c r="D141" s="4">
        <v>322</v>
      </c>
      <c r="E141" s="1">
        <v>6</v>
      </c>
      <c r="M141" s="1">
        <v>6</v>
      </c>
    </row>
    <row r="142" spans="1:13" ht="16" thickBot="1" x14ac:dyDescent="0.25">
      <c r="A142" s="12">
        <v>44359</v>
      </c>
      <c r="B142" s="1" t="s">
        <v>295</v>
      </c>
      <c r="C142" s="72" t="s">
        <v>296</v>
      </c>
      <c r="D142" s="7">
        <v>949</v>
      </c>
      <c r="E142" s="1">
        <v>27</v>
      </c>
      <c r="M142" s="1">
        <v>27</v>
      </c>
    </row>
    <row r="143" spans="1:13" ht="16" thickBot="1" x14ac:dyDescent="0.25">
      <c r="A143" s="12">
        <v>44206</v>
      </c>
      <c r="B143" s="1" t="s">
        <v>297</v>
      </c>
      <c r="C143" s="72" t="s">
        <v>298</v>
      </c>
      <c r="D143" s="7">
        <v>1315</v>
      </c>
      <c r="E143" s="1">
        <v>30</v>
      </c>
      <c r="M143" s="1">
        <v>35</v>
      </c>
    </row>
    <row r="144" spans="1:13" ht="16" thickBot="1" x14ac:dyDescent="0.25">
      <c r="A144" s="12">
        <v>44389</v>
      </c>
      <c r="B144" s="1" t="s">
        <v>299</v>
      </c>
      <c r="C144" s="72" t="s">
        <v>300</v>
      </c>
      <c r="D144" s="7">
        <v>389</v>
      </c>
      <c r="E144" s="1">
        <v>16</v>
      </c>
      <c r="M144" s="1">
        <v>21</v>
      </c>
    </row>
    <row r="145" spans="1:13" ht="17" thickBot="1" x14ac:dyDescent="0.25">
      <c r="A145" s="11" t="s">
        <v>401</v>
      </c>
      <c r="B145" s="1" t="s">
        <v>301</v>
      </c>
      <c r="C145" s="72" t="s">
        <v>302</v>
      </c>
      <c r="D145" s="7">
        <v>459</v>
      </c>
      <c r="E145" s="1">
        <v>11</v>
      </c>
      <c r="M145" s="1">
        <v>13</v>
      </c>
    </row>
    <row r="146" spans="1:13" ht="17" thickBot="1" x14ac:dyDescent="0.25">
      <c r="A146" s="11" t="s">
        <v>402</v>
      </c>
      <c r="B146" s="1" t="s">
        <v>303</v>
      </c>
      <c r="C146" s="72" t="s">
        <v>304</v>
      </c>
      <c r="D146" s="7">
        <v>789</v>
      </c>
      <c r="E146" s="1">
        <v>3</v>
      </c>
      <c r="M146" s="1">
        <v>3</v>
      </c>
    </row>
    <row r="147" spans="1:13" ht="17" thickBot="1" x14ac:dyDescent="0.25">
      <c r="A147" s="11" t="s">
        <v>403</v>
      </c>
      <c r="B147" s="1" t="s">
        <v>305</v>
      </c>
      <c r="C147" s="72" t="s">
        <v>306</v>
      </c>
      <c r="D147" s="4">
        <v>459</v>
      </c>
      <c r="E147" s="1">
        <v>47</v>
      </c>
      <c r="M147" s="1">
        <v>48</v>
      </c>
    </row>
    <row r="148" spans="1:13" ht="17" thickBot="1" x14ac:dyDescent="0.25">
      <c r="A148" s="11" t="s">
        <v>404</v>
      </c>
      <c r="B148" s="1" t="s">
        <v>307</v>
      </c>
      <c r="C148" s="72" t="s">
        <v>308</v>
      </c>
      <c r="D148" s="7">
        <v>349</v>
      </c>
      <c r="E148" s="1">
        <v>5</v>
      </c>
      <c r="M148" s="1">
        <v>7</v>
      </c>
    </row>
    <row r="149" spans="1:13" ht="16" thickBot="1" x14ac:dyDescent="0.25">
      <c r="A149" s="12">
        <v>44350</v>
      </c>
      <c r="B149" s="1" t="s">
        <v>309</v>
      </c>
      <c r="C149" s="72" t="s">
        <v>310</v>
      </c>
      <c r="D149" s="7">
        <v>125</v>
      </c>
      <c r="E149" s="1">
        <v>22</v>
      </c>
      <c r="M149" s="1">
        <v>22</v>
      </c>
    </row>
    <row r="150" spans="1:13" ht="16" thickBot="1" x14ac:dyDescent="0.25">
      <c r="A150" s="12">
        <v>44289</v>
      </c>
      <c r="B150" s="1" t="s">
        <v>311</v>
      </c>
      <c r="C150" s="72" t="s">
        <v>312</v>
      </c>
      <c r="D150" s="7">
        <v>1199</v>
      </c>
      <c r="E150" s="1">
        <v>25</v>
      </c>
      <c r="M150" s="1">
        <v>27</v>
      </c>
    </row>
    <row r="151" spans="1:13" ht="17" thickBot="1" x14ac:dyDescent="0.25">
      <c r="A151" s="11" t="s">
        <v>405</v>
      </c>
      <c r="B151" s="1" t="s">
        <v>313</v>
      </c>
      <c r="C151" s="72" t="s">
        <v>314</v>
      </c>
      <c r="D151" s="7">
        <v>299</v>
      </c>
      <c r="E151" s="1">
        <v>19</v>
      </c>
      <c r="M151" s="1">
        <v>19</v>
      </c>
    </row>
    <row r="152" spans="1:13" ht="16" thickBot="1" x14ac:dyDescent="0.25">
      <c r="A152" s="12">
        <v>44204</v>
      </c>
      <c r="B152" s="1" t="s">
        <v>315</v>
      </c>
      <c r="C152" s="72" t="s">
        <v>316</v>
      </c>
      <c r="D152" s="7">
        <v>1099</v>
      </c>
      <c r="E152" s="1">
        <v>33</v>
      </c>
      <c r="M152" s="1">
        <v>33</v>
      </c>
    </row>
    <row r="153" spans="1:13" ht="17" thickBot="1" x14ac:dyDescent="0.25">
      <c r="A153" s="11" t="s">
        <v>406</v>
      </c>
      <c r="B153" s="1" t="s">
        <v>317</v>
      </c>
      <c r="C153" s="72" t="s">
        <v>318</v>
      </c>
      <c r="D153" s="7">
        <v>799</v>
      </c>
      <c r="E153" s="1">
        <v>2</v>
      </c>
      <c r="M153" s="1">
        <v>2</v>
      </c>
    </row>
    <row r="154" spans="1:13" ht="16" thickBot="1" x14ac:dyDescent="0.25">
      <c r="A154" s="12">
        <v>44444</v>
      </c>
      <c r="B154" s="1" t="s">
        <v>319</v>
      </c>
      <c r="C154" s="72" t="s">
        <v>320</v>
      </c>
      <c r="D154" s="7">
        <v>599</v>
      </c>
      <c r="E154" s="1">
        <v>4</v>
      </c>
      <c r="M154" s="1">
        <v>6</v>
      </c>
    </row>
    <row r="155" spans="1:13" ht="16" thickBot="1" x14ac:dyDescent="0.25">
      <c r="A155" s="12">
        <v>44471</v>
      </c>
      <c r="B155" s="1" t="s">
        <v>321</v>
      </c>
      <c r="C155" s="72" t="s">
        <v>322</v>
      </c>
      <c r="D155" s="7">
        <v>584</v>
      </c>
      <c r="E155" s="1">
        <v>9</v>
      </c>
      <c r="M155" s="1">
        <v>9</v>
      </c>
    </row>
    <row r="156" spans="1:13" ht="16" thickBot="1" x14ac:dyDescent="0.25">
      <c r="A156" s="12">
        <v>44229</v>
      </c>
      <c r="B156" s="1" t="s">
        <v>323</v>
      </c>
      <c r="C156" s="72" t="s">
        <v>324</v>
      </c>
      <c r="D156" s="7">
        <v>1402</v>
      </c>
      <c r="E156" s="1">
        <v>15</v>
      </c>
      <c r="M156" s="1">
        <v>15</v>
      </c>
    </row>
    <row r="157" spans="1:13" ht="16" thickBot="1" x14ac:dyDescent="0.25">
      <c r="A157" s="12">
        <v>44351</v>
      </c>
      <c r="B157" s="1" t="s">
        <v>325</v>
      </c>
      <c r="C157" s="72" t="s">
        <v>326</v>
      </c>
      <c r="D157" s="7">
        <v>1699</v>
      </c>
      <c r="E157" s="1">
        <v>23</v>
      </c>
      <c r="M157" s="1">
        <v>23</v>
      </c>
    </row>
    <row r="158" spans="1:13" ht="17" thickBot="1" x14ac:dyDescent="0.25">
      <c r="A158" s="11" t="s">
        <v>407</v>
      </c>
      <c r="B158" s="1" t="s">
        <v>327</v>
      </c>
      <c r="C158" s="72" t="s">
        <v>328</v>
      </c>
      <c r="D158" s="7">
        <v>199</v>
      </c>
      <c r="E158" s="1">
        <v>9</v>
      </c>
      <c r="M158" s="1">
        <v>9</v>
      </c>
    </row>
    <row r="159" spans="1:13" ht="17" thickBot="1" x14ac:dyDescent="0.25">
      <c r="A159" s="11" t="s">
        <v>348</v>
      </c>
      <c r="B159" s="1" t="s">
        <v>329</v>
      </c>
      <c r="C159" s="72" t="s">
        <v>330</v>
      </c>
      <c r="D159" s="7">
        <v>1510</v>
      </c>
      <c r="E159" s="1">
        <v>22</v>
      </c>
      <c r="M159" s="1">
        <v>31</v>
      </c>
    </row>
    <row r="160" spans="1:13" ht="17" thickBot="1" x14ac:dyDescent="0.25">
      <c r="A160" s="11" t="s">
        <v>382</v>
      </c>
      <c r="B160" s="1" t="s">
        <v>331</v>
      </c>
      <c r="C160" s="72" t="s">
        <v>332</v>
      </c>
      <c r="D160" s="7">
        <v>469</v>
      </c>
      <c r="E160" s="1">
        <v>2</v>
      </c>
      <c r="M160" s="1">
        <v>3</v>
      </c>
    </row>
    <row r="161" spans="1:13" ht="17" thickBot="1" x14ac:dyDescent="0.25">
      <c r="A161" s="11" t="s">
        <v>396</v>
      </c>
      <c r="B161" s="1" t="s">
        <v>333</v>
      </c>
      <c r="C161" s="72" t="s">
        <v>334</v>
      </c>
      <c r="D161" s="7">
        <v>1078</v>
      </c>
      <c r="E161" s="1">
        <v>5</v>
      </c>
      <c r="M161" s="1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DDD0-1B77-41DB-BA39-F3BD1179162A}">
  <sheetPr codeName="Sheet2"/>
  <dimension ref="A1:S103"/>
  <sheetViews>
    <sheetView zoomScale="60" zoomScaleNormal="60" workbookViewId="0">
      <selection activeCell="C6" sqref="C6"/>
    </sheetView>
  </sheetViews>
  <sheetFormatPr baseColWidth="10" defaultColWidth="8.83203125" defaultRowHeight="15" x14ac:dyDescent="0.2"/>
  <cols>
    <col min="1" max="1" width="8.83203125" style="68"/>
    <col min="2" max="2" width="60.33203125" bestFit="1" customWidth="1"/>
    <col min="3" max="3" width="12.1640625" style="78" bestFit="1" customWidth="1"/>
    <col min="4" max="4" width="13.33203125" style="54" bestFit="1" customWidth="1"/>
    <col min="5" max="5" width="9.83203125" style="74" bestFit="1" customWidth="1"/>
    <col min="6" max="6" width="6.83203125" style="70" customWidth="1"/>
    <col min="7" max="7" width="60.33203125" bestFit="1" customWidth="1"/>
    <col min="8" max="8" width="12.1640625" style="78" bestFit="1" customWidth="1"/>
    <col min="9" max="9" width="13.33203125" style="54" bestFit="1" customWidth="1"/>
    <col min="10" max="10" width="9.83203125" style="68" bestFit="1" customWidth="1"/>
    <col min="12" max="12" width="8.83203125" style="68"/>
    <col min="13" max="13" width="60.33203125" bestFit="1" customWidth="1"/>
    <col min="14" max="14" width="12.1640625" style="68" bestFit="1" customWidth="1"/>
    <col min="15" max="15" width="12.1640625" bestFit="1" customWidth="1"/>
    <col min="16" max="16" width="9.83203125" style="68" bestFit="1" customWidth="1"/>
    <col min="18" max="18" width="32.1640625" bestFit="1" customWidth="1"/>
    <col min="19" max="19" width="65.33203125" bestFit="1" customWidth="1"/>
  </cols>
  <sheetData>
    <row r="1" spans="1:19" s="73" customFormat="1" ht="29.5" customHeight="1" x14ac:dyDescent="0.2">
      <c r="A1" s="86" t="s">
        <v>686</v>
      </c>
      <c r="B1" s="86" t="s">
        <v>689</v>
      </c>
      <c r="C1" s="87" t="s">
        <v>687</v>
      </c>
      <c r="D1" s="88" t="s">
        <v>702</v>
      </c>
      <c r="E1" s="82"/>
      <c r="F1" s="73" t="s">
        <v>686</v>
      </c>
      <c r="G1" s="73" t="s">
        <v>689</v>
      </c>
      <c r="H1" s="80" t="s">
        <v>687</v>
      </c>
      <c r="I1" s="81" t="s">
        <v>702</v>
      </c>
      <c r="J1" s="73" t="s">
        <v>688</v>
      </c>
      <c r="L1" s="73" t="s">
        <v>686</v>
      </c>
      <c r="M1" s="73" t="s">
        <v>689</v>
      </c>
      <c r="N1" s="73" t="s">
        <v>687</v>
      </c>
      <c r="O1" s="73" t="s">
        <v>703</v>
      </c>
      <c r="P1" s="73" t="s">
        <v>688</v>
      </c>
    </row>
    <row r="2" spans="1:19" x14ac:dyDescent="0.2">
      <c r="A2" s="89">
        <v>1</v>
      </c>
      <c r="B2" s="1" t="s">
        <v>45</v>
      </c>
      <c r="C2" s="91">
        <v>1</v>
      </c>
      <c r="D2" s="90">
        <v>36276.932999999997</v>
      </c>
      <c r="E2" s="76"/>
      <c r="F2" s="70">
        <v>1</v>
      </c>
      <c r="G2" t="s">
        <v>25</v>
      </c>
      <c r="H2">
        <v>5</v>
      </c>
      <c r="I2" s="54">
        <v>5307.5</v>
      </c>
      <c r="J2" s="68" t="s">
        <v>693</v>
      </c>
      <c r="L2" s="68">
        <v>1</v>
      </c>
      <c r="M2" t="s">
        <v>25</v>
      </c>
      <c r="N2">
        <v>5</v>
      </c>
      <c r="O2" s="54">
        <v>530.75</v>
      </c>
      <c r="P2" s="68" t="s">
        <v>693</v>
      </c>
      <c r="R2" s="94" t="s">
        <v>727</v>
      </c>
      <c r="S2" t="str">
        <f>INDEX(B2:B101,MATCH(LARGE(D2:D101,1),D2:D101,0))</f>
        <v>LG QNED99 86 Inch 8K Smart QNED MiniLED TV with AI ThinQ</v>
      </c>
    </row>
    <row r="3" spans="1:19" x14ac:dyDescent="0.2">
      <c r="A3" s="89">
        <v>2</v>
      </c>
      <c r="B3" s="1" t="s">
        <v>41</v>
      </c>
      <c r="C3" s="89">
        <v>1</v>
      </c>
      <c r="D3" s="90">
        <v>15090.921999999999</v>
      </c>
      <c r="E3" s="76"/>
      <c r="F3" s="70">
        <v>2</v>
      </c>
      <c r="G3" s="1" t="s">
        <v>297</v>
      </c>
      <c r="H3" s="1">
        <v>2</v>
      </c>
      <c r="I3" s="54">
        <v>2893</v>
      </c>
      <c r="J3" s="68" t="s">
        <v>693</v>
      </c>
      <c r="L3" s="68">
        <v>2</v>
      </c>
      <c r="M3" s="1" t="s">
        <v>297</v>
      </c>
      <c r="N3" s="1">
        <v>2</v>
      </c>
      <c r="O3" s="54">
        <v>289.3</v>
      </c>
      <c r="P3" s="68" t="s">
        <v>693</v>
      </c>
      <c r="R3" s="93"/>
    </row>
    <row r="4" spans="1:19" x14ac:dyDescent="0.2">
      <c r="A4" s="89">
        <v>3</v>
      </c>
      <c r="B4" s="1" t="s">
        <v>71</v>
      </c>
      <c r="C4" s="91">
        <v>1</v>
      </c>
      <c r="D4" s="90">
        <v>13750</v>
      </c>
      <c r="E4" s="76"/>
      <c r="F4" s="70">
        <v>3</v>
      </c>
      <c r="G4" s="1" t="s">
        <v>297</v>
      </c>
      <c r="H4" s="1">
        <v>2</v>
      </c>
      <c r="I4" s="54">
        <v>2893</v>
      </c>
      <c r="J4" s="68" t="s">
        <v>693</v>
      </c>
      <c r="L4" s="68">
        <v>3</v>
      </c>
      <c r="M4" s="1" t="s">
        <v>297</v>
      </c>
      <c r="N4" s="1">
        <v>2</v>
      </c>
      <c r="O4" s="54">
        <v>289.3</v>
      </c>
      <c r="P4" s="68" t="s">
        <v>693</v>
      </c>
      <c r="R4" s="95" t="s">
        <v>725</v>
      </c>
      <c r="S4" t="str">
        <f>INDEX(M2:M101,MATCH(LARGE(O2:O101,1),O2:O101,0))</f>
        <v>LG QNED99 86 Inch 8K Smart QNED MiniLED TV with AI ThinQ</v>
      </c>
    </row>
    <row r="5" spans="1:19" x14ac:dyDescent="0.2">
      <c r="A5" s="89">
        <v>4</v>
      </c>
      <c r="B5" s="1" t="s">
        <v>329</v>
      </c>
      <c r="C5" s="91">
        <v>8</v>
      </c>
      <c r="D5" s="90">
        <v>13221.56</v>
      </c>
      <c r="E5" s="76"/>
      <c r="F5" s="70">
        <v>4</v>
      </c>
      <c r="G5" s="1" t="s">
        <v>297</v>
      </c>
      <c r="H5" s="1">
        <v>1</v>
      </c>
      <c r="I5" s="54">
        <v>1446.5</v>
      </c>
      <c r="J5" s="68" t="s">
        <v>693</v>
      </c>
      <c r="L5" s="68">
        <v>4</v>
      </c>
      <c r="M5" s="1" t="s">
        <v>297</v>
      </c>
      <c r="N5" s="1">
        <v>1</v>
      </c>
      <c r="O5" s="54">
        <v>144.65</v>
      </c>
      <c r="P5" s="68" t="s">
        <v>693</v>
      </c>
    </row>
    <row r="6" spans="1:19" x14ac:dyDescent="0.2">
      <c r="A6" s="89">
        <v>5</v>
      </c>
      <c r="B6" s="1" t="s">
        <v>87</v>
      </c>
      <c r="C6" s="91">
        <v>1</v>
      </c>
      <c r="D6" s="90">
        <v>11712.8</v>
      </c>
      <c r="E6" s="76"/>
      <c r="F6" s="70">
        <v>5</v>
      </c>
      <c r="G6" s="1" t="s">
        <v>163</v>
      </c>
      <c r="H6" s="1">
        <v>2</v>
      </c>
      <c r="I6" s="54">
        <v>3843.4</v>
      </c>
      <c r="J6" s="68" t="s">
        <v>693</v>
      </c>
      <c r="L6" s="68">
        <v>5</v>
      </c>
      <c r="M6" s="1" t="s">
        <v>163</v>
      </c>
      <c r="N6" s="1">
        <v>2</v>
      </c>
      <c r="O6" s="54">
        <v>384.34000000000009</v>
      </c>
      <c r="P6" s="68" t="s">
        <v>693</v>
      </c>
      <c r="R6" s="96" t="s">
        <v>726</v>
      </c>
      <c r="S6" t="str">
        <f>INDEX(B2:B101,MATCH(LARGE(H2:H101,1),H2:H101,0))</f>
        <v xml:space="preserve">Toshiba 26L Microwave Oven With Convection Function </v>
      </c>
    </row>
    <row r="7" spans="1:19" x14ac:dyDescent="0.2">
      <c r="A7" s="89">
        <v>6</v>
      </c>
      <c r="B7" s="1" t="s">
        <v>77</v>
      </c>
      <c r="C7" s="91">
        <v>2</v>
      </c>
      <c r="D7" s="90">
        <v>10742.6</v>
      </c>
      <c r="E7" s="76"/>
      <c r="F7" s="70">
        <v>6</v>
      </c>
      <c r="G7" s="1" t="s">
        <v>305</v>
      </c>
      <c r="H7" s="1">
        <v>1</v>
      </c>
      <c r="I7" s="54">
        <v>494.80199999999996</v>
      </c>
      <c r="J7" s="68" t="s">
        <v>693</v>
      </c>
      <c r="L7" s="68">
        <v>6</v>
      </c>
      <c r="M7" s="1" t="s">
        <v>305</v>
      </c>
      <c r="N7" s="1">
        <v>1</v>
      </c>
      <c r="O7" s="54">
        <v>40.391999999999975</v>
      </c>
      <c r="P7" s="68" t="s">
        <v>693</v>
      </c>
    </row>
    <row r="8" spans="1:19" x14ac:dyDescent="0.2">
      <c r="A8" s="89">
        <v>7</v>
      </c>
      <c r="B8" s="1" t="s">
        <v>65</v>
      </c>
      <c r="C8" s="89">
        <v>2</v>
      </c>
      <c r="D8" s="90">
        <v>10557.8</v>
      </c>
      <c r="E8" s="76"/>
      <c r="F8" s="70">
        <v>7</v>
      </c>
      <c r="G8" s="1" t="s">
        <v>207</v>
      </c>
      <c r="H8" s="1">
        <v>1</v>
      </c>
      <c r="I8" s="54">
        <v>3859.9</v>
      </c>
      <c r="J8" s="68" t="s">
        <v>693</v>
      </c>
      <c r="L8" s="68">
        <v>7</v>
      </c>
      <c r="M8" s="1" t="s">
        <v>207</v>
      </c>
      <c r="N8" s="1">
        <v>1</v>
      </c>
      <c r="O8" s="54">
        <v>385.99000000000012</v>
      </c>
      <c r="P8" s="68" t="s">
        <v>693</v>
      </c>
    </row>
    <row r="9" spans="1:19" x14ac:dyDescent="0.2">
      <c r="A9" s="89">
        <v>8</v>
      </c>
      <c r="B9" s="1" t="s">
        <v>173</v>
      </c>
      <c r="C9" s="91">
        <v>3</v>
      </c>
      <c r="D9" s="90">
        <v>10127.700000000001</v>
      </c>
      <c r="E9" s="76"/>
      <c r="F9" s="70">
        <v>8</v>
      </c>
      <c r="G9" s="1" t="s">
        <v>233</v>
      </c>
      <c r="H9" s="1">
        <v>2</v>
      </c>
      <c r="I9" s="54">
        <v>831.6</v>
      </c>
      <c r="J9" s="68" t="s">
        <v>693</v>
      </c>
      <c r="L9" s="68">
        <v>8</v>
      </c>
      <c r="M9" s="1" t="s">
        <v>233</v>
      </c>
      <c r="N9" s="1">
        <v>2</v>
      </c>
      <c r="O9" s="54">
        <v>83.160000000000025</v>
      </c>
      <c r="P9" s="68" t="s">
        <v>693</v>
      </c>
    </row>
    <row r="10" spans="1:19" x14ac:dyDescent="0.2">
      <c r="A10" s="89">
        <v>9</v>
      </c>
      <c r="B10" t="s">
        <v>53</v>
      </c>
      <c r="C10" s="91">
        <v>4</v>
      </c>
      <c r="D10" s="90">
        <v>10014.444</v>
      </c>
      <c r="E10" s="76"/>
      <c r="F10" s="70">
        <v>9</v>
      </c>
      <c r="G10" s="1" t="s">
        <v>57</v>
      </c>
      <c r="H10" s="1">
        <v>1</v>
      </c>
      <c r="I10" s="54">
        <v>2748.9</v>
      </c>
      <c r="J10" s="68" t="s">
        <v>693</v>
      </c>
      <c r="L10" s="68">
        <v>9</v>
      </c>
      <c r="M10" s="1" t="s">
        <v>57</v>
      </c>
      <c r="N10" s="1">
        <v>1</v>
      </c>
      <c r="O10" s="54">
        <v>274.8900000000001</v>
      </c>
      <c r="P10" s="68" t="s">
        <v>693</v>
      </c>
    </row>
    <row r="11" spans="1:19" x14ac:dyDescent="0.2">
      <c r="A11" s="89">
        <v>10</v>
      </c>
      <c r="B11" t="s">
        <v>117</v>
      </c>
      <c r="C11" s="91">
        <v>2</v>
      </c>
      <c r="D11" s="90">
        <v>9295</v>
      </c>
      <c r="E11" s="76"/>
      <c r="F11" s="70">
        <v>10</v>
      </c>
      <c r="G11" s="1" t="s">
        <v>203</v>
      </c>
      <c r="H11" s="1">
        <v>2</v>
      </c>
      <c r="I11" s="54">
        <v>3429.8</v>
      </c>
      <c r="J11" s="68" t="s">
        <v>693</v>
      </c>
      <c r="L11" s="68">
        <v>10</v>
      </c>
      <c r="M11" s="1" t="s">
        <v>203</v>
      </c>
      <c r="N11" s="1">
        <v>2</v>
      </c>
      <c r="O11" s="54">
        <v>342.98000000000025</v>
      </c>
      <c r="P11" s="68" t="s">
        <v>693</v>
      </c>
    </row>
    <row r="12" spans="1:19" x14ac:dyDescent="0.2">
      <c r="A12" s="89">
        <v>11</v>
      </c>
      <c r="B12" s="1" t="s">
        <v>39</v>
      </c>
      <c r="C12" s="91">
        <v>1</v>
      </c>
      <c r="D12" s="90">
        <v>8798.9</v>
      </c>
      <c r="E12" s="76"/>
      <c r="F12" s="70">
        <v>11</v>
      </c>
      <c r="G12" t="s">
        <v>53</v>
      </c>
      <c r="H12">
        <v>2</v>
      </c>
      <c r="I12" s="54">
        <v>5057.8</v>
      </c>
      <c r="J12" s="68" t="s">
        <v>692</v>
      </c>
      <c r="L12" s="68">
        <v>11</v>
      </c>
      <c r="M12" t="s">
        <v>25</v>
      </c>
      <c r="N12">
        <v>2</v>
      </c>
      <c r="O12" s="54">
        <v>169.84</v>
      </c>
      <c r="P12" s="68" t="s">
        <v>693</v>
      </c>
    </row>
    <row r="13" spans="1:19" x14ac:dyDescent="0.2">
      <c r="A13" s="89">
        <v>12</v>
      </c>
      <c r="B13" s="1" t="s">
        <v>63</v>
      </c>
      <c r="C13" s="91">
        <v>1</v>
      </c>
      <c r="D13" s="90">
        <v>8798.9</v>
      </c>
      <c r="E13" s="76"/>
      <c r="F13" s="70">
        <v>12</v>
      </c>
      <c r="G13" t="s">
        <v>53</v>
      </c>
      <c r="H13">
        <v>2</v>
      </c>
      <c r="I13" s="54">
        <v>4956.6440000000002</v>
      </c>
      <c r="J13" s="68" t="s">
        <v>692</v>
      </c>
      <c r="L13" s="68">
        <v>12</v>
      </c>
      <c r="M13" t="s">
        <v>53</v>
      </c>
      <c r="N13">
        <v>2</v>
      </c>
      <c r="O13" s="54">
        <v>505.7800000000002</v>
      </c>
      <c r="P13" s="68" t="s">
        <v>692</v>
      </c>
    </row>
    <row r="14" spans="1:19" x14ac:dyDescent="0.2">
      <c r="A14" s="89">
        <v>13</v>
      </c>
      <c r="B14" t="s">
        <v>43</v>
      </c>
      <c r="C14" s="89">
        <v>2</v>
      </c>
      <c r="D14" s="90">
        <v>8797.7999999999993</v>
      </c>
      <c r="E14" s="76"/>
      <c r="F14" s="70">
        <v>13</v>
      </c>
      <c r="G14" s="1" t="s">
        <v>241</v>
      </c>
      <c r="H14" s="1">
        <v>9</v>
      </c>
      <c r="I14" s="54">
        <v>1057.518</v>
      </c>
      <c r="J14" s="68" t="s">
        <v>692</v>
      </c>
      <c r="L14" s="68">
        <v>13</v>
      </c>
      <c r="M14" t="s">
        <v>53</v>
      </c>
      <c r="N14">
        <v>2</v>
      </c>
      <c r="O14" s="54">
        <v>404.62400000000019</v>
      </c>
      <c r="P14" s="68" t="s">
        <v>692</v>
      </c>
    </row>
    <row r="15" spans="1:19" x14ac:dyDescent="0.2">
      <c r="A15" s="89">
        <v>14</v>
      </c>
      <c r="B15" s="1" t="s">
        <v>165</v>
      </c>
      <c r="C15" s="91">
        <v>5</v>
      </c>
      <c r="D15" s="90">
        <v>8794.5</v>
      </c>
      <c r="E15" s="76"/>
      <c r="F15" s="70">
        <v>14</v>
      </c>
      <c r="G15" s="1" t="s">
        <v>51</v>
      </c>
      <c r="H15" s="1">
        <v>3</v>
      </c>
      <c r="I15" s="54">
        <v>2909.7089999999998</v>
      </c>
      <c r="J15" s="68" t="s">
        <v>692</v>
      </c>
      <c r="L15" s="68">
        <v>14</v>
      </c>
      <c r="M15" s="1" t="s">
        <v>241</v>
      </c>
      <c r="N15" s="1">
        <v>9</v>
      </c>
      <c r="O15" s="54">
        <v>86.32800000000006</v>
      </c>
      <c r="P15" s="68" t="s">
        <v>692</v>
      </c>
    </row>
    <row r="16" spans="1:19" x14ac:dyDescent="0.2">
      <c r="A16" s="89">
        <v>15</v>
      </c>
      <c r="B16" t="s">
        <v>79</v>
      </c>
      <c r="C16" s="91">
        <v>13</v>
      </c>
      <c r="D16" s="90">
        <v>8723</v>
      </c>
      <c r="E16" s="76"/>
      <c r="F16" s="70">
        <v>15</v>
      </c>
      <c r="G16" s="1" t="s">
        <v>289</v>
      </c>
      <c r="H16" s="1">
        <v>7</v>
      </c>
      <c r="I16" s="54">
        <v>1954.414</v>
      </c>
      <c r="J16" s="68" t="s">
        <v>692</v>
      </c>
      <c r="L16" s="68">
        <v>15</v>
      </c>
      <c r="M16" s="1" t="s">
        <v>51</v>
      </c>
      <c r="N16" s="1">
        <v>3</v>
      </c>
      <c r="O16" s="54">
        <v>209.97899999999993</v>
      </c>
      <c r="P16" s="68" t="s">
        <v>692</v>
      </c>
    </row>
    <row r="17" spans="1:16" x14ac:dyDescent="0.2">
      <c r="A17" s="89">
        <v>16</v>
      </c>
      <c r="B17" s="1" t="s">
        <v>91</v>
      </c>
      <c r="C17" s="91">
        <v>2</v>
      </c>
      <c r="D17" s="90">
        <v>8505.2000000000007</v>
      </c>
      <c r="E17" s="76"/>
      <c r="F17" s="70">
        <v>16</v>
      </c>
      <c r="G17" s="1" t="s">
        <v>281</v>
      </c>
      <c r="H17" s="1">
        <v>2</v>
      </c>
      <c r="I17" s="54">
        <v>1896.4</v>
      </c>
      <c r="J17" s="68" t="s">
        <v>692</v>
      </c>
      <c r="L17" s="68">
        <v>16</v>
      </c>
      <c r="M17" s="1" t="s">
        <v>289</v>
      </c>
      <c r="N17" s="1">
        <v>7</v>
      </c>
      <c r="O17" s="54">
        <v>159.54399999999981</v>
      </c>
      <c r="P17" s="68" t="s">
        <v>692</v>
      </c>
    </row>
    <row r="18" spans="1:16" x14ac:dyDescent="0.2">
      <c r="A18" s="89">
        <v>17</v>
      </c>
      <c r="B18" s="1" t="s">
        <v>127</v>
      </c>
      <c r="C18" s="91">
        <v>2</v>
      </c>
      <c r="D18" s="90">
        <v>8137.8</v>
      </c>
      <c r="E18" s="76"/>
      <c r="F18" s="70">
        <v>17</v>
      </c>
      <c r="G18" s="1" t="s">
        <v>161</v>
      </c>
      <c r="H18" s="1">
        <v>1</v>
      </c>
      <c r="I18" s="54">
        <v>2724.7</v>
      </c>
      <c r="J18" s="68" t="s">
        <v>692</v>
      </c>
      <c r="L18" s="68">
        <v>17</v>
      </c>
      <c r="M18" s="1" t="s">
        <v>281</v>
      </c>
      <c r="N18" s="1">
        <v>2</v>
      </c>
      <c r="O18" s="54">
        <v>189.6400000000001</v>
      </c>
      <c r="P18" s="68" t="s">
        <v>692</v>
      </c>
    </row>
    <row r="19" spans="1:16" x14ac:dyDescent="0.2">
      <c r="A19" s="89">
        <v>18</v>
      </c>
      <c r="B19" t="s">
        <v>25</v>
      </c>
      <c r="C19" s="91">
        <v>7</v>
      </c>
      <c r="D19" s="90">
        <v>7388.04</v>
      </c>
      <c r="E19" s="76"/>
      <c r="F19" s="70">
        <v>18</v>
      </c>
      <c r="G19" s="1" t="s">
        <v>571</v>
      </c>
      <c r="H19" s="1">
        <v>2</v>
      </c>
      <c r="I19" s="54">
        <v>4861.78</v>
      </c>
      <c r="J19" s="68" t="s">
        <v>692</v>
      </c>
      <c r="L19" s="68">
        <v>18</v>
      </c>
      <c r="M19" s="1" t="s">
        <v>161</v>
      </c>
      <c r="N19" s="1">
        <v>1</v>
      </c>
      <c r="O19" s="54">
        <v>272.4699999999998</v>
      </c>
      <c r="P19" s="68" t="s">
        <v>692</v>
      </c>
    </row>
    <row r="20" spans="1:16" x14ac:dyDescent="0.2">
      <c r="A20" s="89">
        <v>19</v>
      </c>
      <c r="B20" s="1" t="s">
        <v>297</v>
      </c>
      <c r="C20" s="91">
        <v>5</v>
      </c>
      <c r="D20" s="90">
        <v>7232.5</v>
      </c>
      <c r="E20" s="76"/>
      <c r="F20" s="70">
        <v>19</v>
      </c>
      <c r="G20" s="1" t="s">
        <v>185</v>
      </c>
      <c r="H20" s="1">
        <v>2</v>
      </c>
      <c r="I20" s="54">
        <v>3209.8</v>
      </c>
      <c r="J20" s="68" t="s">
        <v>692</v>
      </c>
      <c r="L20" s="68">
        <v>19</v>
      </c>
      <c r="M20" s="1" t="s">
        <v>571</v>
      </c>
      <c r="N20" s="1">
        <v>2</v>
      </c>
      <c r="O20" s="54">
        <v>396.88</v>
      </c>
      <c r="P20" s="68" t="s">
        <v>692</v>
      </c>
    </row>
    <row r="21" spans="1:16" x14ac:dyDescent="0.2">
      <c r="A21" s="89">
        <v>20</v>
      </c>
      <c r="B21" s="1" t="s">
        <v>99</v>
      </c>
      <c r="C21" s="89">
        <v>2</v>
      </c>
      <c r="D21" s="90">
        <v>6597.8</v>
      </c>
      <c r="E21" s="76"/>
      <c r="F21" s="70">
        <v>20</v>
      </c>
      <c r="G21" s="1" t="s">
        <v>281</v>
      </c>
      <c r="H21" s="1">
        <v>3</v>
      </c>
      <c r="I21" s="54">
        <v>2844.6000000000004</v>
      </c>
      <c r="J21" s="68" t="s">
        <v>692</v>
      </c>
      <c r="L21" s="68">
        <v>20</v>
      </c>
      <c r="M21" s="1" t="s">
        <v>185</v>
      </c>
      <c r="N21" s="1">
        <v>2</v>
      </c>
      <c r="O21" s="54">
        <v>320.98000000000025</v>
      </c>
      <c r="P21" s="68" t="s">
        <v>692</v>
      </c>
    </row>
    <row r="22" spans="1:16" x14ac:dyDescent="0.2">
      <c r="A22" s="89">
        <v>21</v>
      </c>
      <c r="B22" s="1" t="s">
        <v>133</v>
      </c>
      <c r="C22" s="91">
        <v>1</v>
      </c>
      <c r="D22" s="90">
        <v>6378.9</v>
      </c>
      <c r="E22" s="76"/>
      <c r="F22" s="70">
        <v>21</v>
      </c>
      <c r="G22" s="1" t="s">
        <v>87</v>
      </c>
      <c r="H22" s="1">
        <v>1</v>
      </c>
      <c r="I22" s="54">
        <v>11712.8</v>
      </c>
      <c r="J22" s="68" t="s">
        <v>692</v>
      </c>
      <c r="L22" s="68">
        <v>21</v>
      </c>
      <c r="M22" s="1" t="s">
        <v>281</v>
      </c>
      <c r="N22" s="1">
        <v>3</v>
      </c>
      <c r="O22" s="54">
        <v>284.46000000000015</v>
      </c>
      <c r="P22" s="68" t="s">
        <v>692</v>
      </c>
    </row>
    <row r="23" spans="1:16" x14ac:dyDescent="0.2">
      <c r="A23" s="89">
        <v>22</v>
      </c>
      <c r="B23" s="1" t="s">
        <v>261</v>
      </c>
      <c r="C23" s="91">
        <v>3</v>
      </c>
      <c r="D23" s="90">
        <v>5969.7000000000007</v>
      </c>
      <c r="E23" s="76"/>
      <c r="F23" s="70">
        <v>22</v>
      </c>
      <c r="G23" t="s">
        <v>69</v>
      </c>
      <c r="H23">
        <v>1</v>
      </c>
      <c r="I23" s="54">
        <v>3100.9</v>
      </c>
      <c r="J23" s="68" t="s">
        <v>694</v>
      </c>
      <c r="L23" s="68">
        <v>22</v>
      </c>
      <c r="M23" s="1" t="s">
        <v>87</v>
      </c>
      <c r="N23" s="1">
        <v>1</v>
      </c>
      <c r="O23" s="54">
        <v>1171.2799999999991</v>
      </c>
      <c r="P23" s="68" t="s">
        <v>692</v>
      </c>
    </row>
    <row r="24" spans="1:16" x14ac:dyDescent="0.2">
      <c r="A24" s="89">
        <v>23</v>
      </c>
      <c r="B24" s="1" t="s">
        <v>31</v>
      </c>
      <c r="C24" s="89">
        <v>2</v>
      </c>
      <c r="D24" s="90">
        <v>5819.0439999999999</v>
      </c>
      <c r="E24" s="76"/>
      <c r="F24" s="70">
        <v>23</v>
      </c>
      <c r="G24" s="1" t="s">
        <v>31</v>
      </c>
      <c r="H24" s="1">
        <v>2</v>
      </c>
      <c r="I24" s="54">
        <v>5819.0439999999999</v>
      </c>
      <c r="J24" s="68" t="s">
        <v>694</v>
      </c>
      <c r="L24" s="68">
        <v>23</v>
      </c>
      <c r="M24" t="s">
        <v>69</v>
      </c>
      <c r="N24">
        <v>1</v>
      </c>
      <c r="O24" s="54">
        <v>310.09000000000009</v>
      </c>
      <c r="P24" s="68" t="s">
        <v>694</v>
      </c>
    </row>
    <row r="25" spans="1:16" x14ac:dyDescent="0.2">
      <c r="A25" s="89">
        <v>24</v>
      </c>
      <c r="B25" s="1" t="s">
        <v>73</v>
      </c>
      <c r="C25" s="91">
        <v>2</v>
      </c>
      <c r="D25" s="90">
        <v>5651.8</v>
      </c>
      <c r="E25" s="76"/>
      <c r="F25" s="70">
        <v>24</v>
      </c>
      <c r="G25" s="1" t="s">
        <v>99</v>
      </c>
      <c r="H25" s="1">
        <v>1</v>
      </c>
      <c r="I25" s="54">
        <v>3298.9</v>
      </c>
      <c r="J25" s="68" t="s">
        <v>694</v>
      </c>
      <c r="L25" s="68">
        <v>24</v>
      </c>
      <c r="M25" s="1" t="s">
        <v>31</v>
      </c>
      <c r="N25" s="1">
        <v>2</v>
      </c>
      <c r="O25" s="54">
        <v>475.02400000000023</v>
      </c>
      <c r="P25" s="68" t="s">
        <v>694</v>
      </c>
    </row>
    <row r="26" spans="1:16" x14ac:dyDescent="0.2">
      <c r="A26" s="89">
        <v>25</v>
      </c>
      <c r="B26" s="1" t="s">
        <v>181</v>
      </c>
      <c r="C26" s="91">
        <v>2</v>
      </c>
      <c r="D26" s="90">
        <v>5057.8</v>
      </c>
      <c r="E26" s="76"/>
      <c r="F26" s="70">
        <v>25</v>
      </c>
      <c r="G26" s="1" t="s">
        <v>193</v>
      </c>
      <c r="H26" s="1">
        <v>1</v>
      </c>
      <c r="I26" s="54">
        <v>4972</v>
      </c>
      <c r="J26" s="68" t="s">
        <v>694</v>
      </c>
      <c r="L26" s="68">
        <v>25</v>
      </c>
      <c r="M26" s="1" t="s">
        <v>99</v>
      </c>
      <c r="N26" s="1">
        <v>1</v>
      </c>
      <c r="O26" s="62">
        <v>329.8900000000001</v>
      </c>
      <c r="P26" s="68" t="s">
        <v>694</v>
      </c>
    </row>
    <row r="27" spans="1:16" x14ac:dyDescent="0.2">
      <c r="A27" s="89">
        <v>26</v>
      </c>
      <c r="B27" s="1" t="s">
        <v>193</v>
      </c>
      <c r="C27" s="91">
        <v>1</v>
      </c>
      <c r="D27" s="90">
        <v>4972</v>
      </c>
      <c r="E27" s="76"/>
      <c r="F27" s="70">
        <v>26</v>
      </c>
      <c r="G27" s="1" t="s">
        <v>131</v>
      </c>
      <c r="H27" s="1">
        <v>1</v>
      </c>
      <c r="I27" s="54">
        <v>3265.9</v>
      </c>
      <c r="J27" s="68" t="s">
        <v>694</v>
      </c>
      <c r="L27" s="68">
        <v>26</v>
      </c>
      <c r="M27" s="1" t="s">
        <v>193</v>
      </c>
      <c r="N27" s="1">
        <v>1</v>
      </c>
      <c r="O27" s="54">
        <v>497.2</v>
      </c>
      <c r="P27" s="68" t="s">
        <v>694</v>
      </c>
    </row>
    <row r="28" spans="1:16" x14ac:dyDescent="0.2">
      <c r="A28" s="89">
        <v>27</v>
      </c>
      <c r="B28" s="1" t="s">
        <v>81</v>
      </c>
      <c r="C28" s="91">
        <v>2</v>
      </c>
      <c r="D28" s="90">
        <v>4961</v>
      </c>
      <c r="E28" s="76"/>
      <c r="F28" s="70">
        <v>27</v>
      </c>
      <c r="G28" s="1" t="s">
        <v>99</v>
      </c>
      <c r="H28" s="1">
        <v>1</v>
      </c>
      <c r="I28" s="54">
        <v>3298.9</v>
      </c>
      <c r="J28" s="68" t="s">
        <v>694</v>
      </c>
      <c r="L28" s="68">
        <v>27</v>
      </c>
      <c r="M28" s="1" t="s">
        <v>131</v>
      </c>
      <c r="N28" s="1">
        <v>1</v>
      </c>
      <c r="O28" s="54">
        <v>326.59000000000009</v>
      </c>
      <c r="P28" s="68" t="s">
        <v>694</v>
      </c>
    </row>
    <row r="29" spans="1:16" x14ac:dyDescent="0.2">
      <c r="A29" s="89">
        <v>28</v>
      </c>
      <c r="B29" s="1" t="s">
        <v>571</v>
      </c>
      <c r="C29" s="91">
        <v>2</v>
      </c>
      <c r="D29" s="90">
        <v>4861.78</v>
      </c>
      <c r="E29" s="76"/>
      <c r="F29" s="70">
        <v>28</v>
      </c>
      <c r="G29" s="1" t="s">
        <v>311</v>
      </c>
      <c r="H29" s="1">
        <v>2</v>
      </c>
      <c r="I29" s="54">
        <v>2585.0440000000003</v>
      </c>
      <c r="J29" s="68" t="s">
        <v>700</v>
      </c>
      <c r="L29" s="68">
        <v>28</v>
      </c>
      <c r="M29" s="1" t="s">
        <v>99</v>
      </c>
      <c r="N29" s="1">
        <v>1</v>
      </c>
      <c r="O29" s="54">
        <v>329.8900000000001</v>
      </c>
      <c r="P29" s="68" t="s">
        <v>694</v>
      </c>
    </row>
    <row r="30" spans="1:16" x14ac:dyDescent="0.2">
      <c r="A30" s="89">
        <v>29</v>
      </c>
      <c r="B30" s="1" t="s">
        <v>97</v>
      </c>
      <c r="C30" s="91">
        <v>2</v>
      </c>
      <c r="D30" s="90">
        <v>4837.8</v>
      </c>
      <c r="E30" s="76"/>
      <c r="F30" s="70">
        <v>29</v>
      </c>
      <c r="G30" s="1" t="s">
        <v>329</v>
      </c>
      <c r="H30" s="1">
        <v>2</v>
      </c>
      <c r="I30" s="54">
        <v>3322</v>
      </c>
      <c r="J30" s="68" t="s">
        <v>700</v>
      </c>
      <c r="L30" s="68">
        <v>29</v>
      </c>
      <c r="M30" s="1" t="s">
        <v>311</v>
      </c>
      <c r="N30" s="1">
        <v>2</v>
      </c>
      <c r="O30" s="54">
        <v>211.0240000000002</v>
      </c>
      <c r="P30" s="68" t="s">
        <v>700</v>
      </c>
    </row>
    <row r="31" spans="1:16" x14ac:dyDescent="0.2">
      <c r="A31" s="89">
        <v>30</v>
      </c>
      <c r="B31" s="1" t="s">
        <v>123</v>
      </c>
      <c r="C31" s="91">
        <v>2</v>
      </c>
      <c r="D31" s="90">
        <v>4741.0439999999999</v>
      </c>
      <c r="E31" s="76"/>
      <c r="F31" s="70">
        <v>30</v>
      </c>
      <c r="G31" s="1" t="s">
        <v>39</v>
      </c>
      <c r="H31" s="1">
        <v>1</v>
      </c>
      <c r="I31" s="54">
        <v>8798.9</v>
      </c>
      <c r="J31" s="68" t="s">
        <v>700</v>
      </c>
      <c r="L31" s="68">
        <v>30</v>
      </c>
      <c r="M31" s="1" t="s">
        <v>329</v>
      </c>
      <c r="N31" s="1">
        <v>2</v>
      </c>
      <c r="O31" s="54">
        <v>332.2</v>
      </c>
      <c r="P31" s="68" t="s">
        <v>700</v>
      </c>
    </row>
    <row r="32" spans="1:16" x14ac:dyDescent="0.2">
      <c r="A32" s="89">
        <v>31</v>
      </c>
      <c r="B32" s="1" t="s">
        <v>281</v>
      </c>
      <c r="C32" s="89">
        <v>5</v>
      </c>
      <c r="D32" s="90">
        <v>4741</v>
      </c>
      <c r="E32" s="76"/>
      <c r="F32" s="70">
        <v>31</v>
      </c>
      <c r="G32" s="1" t="s">
        <v>81</v>
      </c>
      <c r="H32" s="1">
        <v>2</v>
      </c>
      <c r="I32" s="54">
        <v>4961</v>
      </c>
      <c r="J32" s="68" t="s">
        <v>700</v>
      </c>
      <c r="L32" s="68">
        <v>31</v>
      </c>
      <c r="M32" s="1" t="s">
        <v>39</v>
      </c>
      <c r="N32" s="1">
        <v>1</v>
      </c>
      <c r="O32" s="54">
        <v>879.88999999999953</v>
      </c>
      <c r="P32" s="68" t="s">
        <v>700</v>
      </c>
    </row>
    <row r="33" spans="1:16" x14ac:dyDescent="0.2">
      <c r="A33" s="89">
        <v>32</v>
      </c>
      <c r="B33" s="1" t="s">
        <v>115</v>
      </c>
      <c r="C33" s="91">
        <v>1</v>
      </c>
      <c r="D33" s="90">
        <v>4461.8419999999996</v>
      </c>
      <c r="E33" s="76"/>
      <c r="F33" s="70">
        <v>32</v>
      </c>
      <c r="G33" s="1" t="s">
        <v>115</v>
      </c>
      <c r="H33" s="1">
        <v>1</v>
      </c>
      <c r="I33" s="54">
        <v>4461.8419999999996</v>
      </c>
      <c r="J33" s="68" t="s">
        <v>700</v>
      </c>
      <c r="L33" s="68">
        <v>32</v>
      </c>
      <c r="M33" s="1" t="s">
        <v>81</v>
      </c>
      <c r="N33" s="1">
        <v>2</v>
      </c>
      <c r="O33" s="54">
        <v>496.1</v>
      </c>
      <c r="P33" s="68" t="s">
        <v>700</v>
      </c>
    </row>
    <row r="34" spans="1:16" x14ac:dyDescent="0.2">
      <c r="A34" s="89">
        <v>33</v>
      </c>
      <c r="B34" s="1" t="s">
        <v>189</v>
      </c>
      <c r="C34" s="91">
        <v>2</v>
      </c>
      <c r="D34" s="90">
        <v>4387.46</v>
      </c>
      <c r="E34" s="76"/>
      <c r="F34" s="70">
        <v>33</v>
      </c>
      <c r="G34" s="1" t="s">
        <v>329</v>
      </c>
      <c r="H34" s="1">
        <v>2</v>
      </c>
      <c r="I34" s="54">
        <v>3255.56</v>
      </c>
      <c r="J34" s="68" t="s">
        <v>700</v>
      </c>
      <c r="L34" s="68">
        <v>33</v>
      </c>
      <c r="M34" s="1" t="s">
        <v>115</v>
      </c>
      <c r="N34" s="1">
        <v>1</v>
      </c>
      <c r="O34" s="54">
        <v>364.23199999999957</v>
      </c>
      <c r="P34" s="68" t="s">
        <v>700</v>
      </c>
    </row>
    <row r="35" spans="1:16" x14ac:dyDescent="0.2">
      <c r="A35" s="89">
        <v>34</v>
      </c>
      <c r="B35" s="1" t="s">
        <v>113</v>
      </c>
      <c r="C35" s="91">
        <v>1</v>
      </c>
      <c r="D35" s="90">
        <v>4343.8999999999996</v>
      </c>
      <c r="E35" s="76"/>
      <c r="F35" s="70">
        <v>34</v>
      </c>
      <c r="G35" s="1" t="s">
        <v>173</v>
      </c>
      <c r="H35" s="1">
        <v>1</v>
      </c>
      <c r="I35" s="54">
        <v>3375.9</v>
      </c>
      <c r="J35" s="68" t="s">
        <v>700</v>
      </c>
      <c r="L35" s="68">
        <v>34</v>
      </c>
      <c r="M35" s="1" t="s">
        <v>329</v>
      </c>
      <c r="N35" s="1">
        <v>2</v>
      </c>
      <c r="O35" s="54">
        <v>265.76</v>
      </c>
      <c r="P35" s="68" t="s">
        <v>700</v>
      </c>
    </row>
    <row r="36" spans="1:16" x14ac:dyDescent="0.2">
      <c r="A36" s="89">
        <v>35</v>
      </c>
      <c r="B36" s="1" t="s">
        <v>105</v>
      </c>
      <c r="C36" s="91">
        <v>1</v>
      </c>
      <c r="D36" s="90">
        <v>4203.1219999999994</v>
      </c>
      <c r="E36" s="76"/>
      <c r="F36" s="70">
        <v>35</v>
      </c>
      <c r="G36" s="1" t="s">
        <v>329</v>
      </c>
      <c r="H36" s="1">
        <v>3</v>
      </c>
      <c r="I36" s="54">
        <v>4983</v>
      </c>
      <c r="J36" s="68" t="s">
        <v>700</v>
      </c>
      <c r="L36" s="68">
        <v>35</v>
      </c>
      <c r="M36" s="1" t="s">
        <v>173</v>
      </c>
      <c r="N36" s="1">
        <v>1</v>
      </c>
      <c r="O36" s="54">
        <v>337.59000000000009</v>
      </c>
      <c r="P36" s="68" t="s">
        <v>700</v>
      </c>
    </row>
    <row r="37" spans="1:16" x14ac:dyDescent="0.2">
      <c r="A37" s="89">
        <v>36</v>
      </c>
      <c r="B37" s="1" t="s">
        <v>95</v>
      </c>
      <c r="C37" s="91">
        <v>2</v>
      </c>
      <c r="D37" s="90">
        <v>3986.444</v>
      </c>
      <c r="E37" s="76"/>
      <c r="F37" s="70">
        <v>36</v>
      </c>
      <c r="G37" s="1" t="s">
        <v>47</v>
      </c>
      <c r="H37" s="1">
        <v>1</v>
      </c>
      <c r="I37" s="54">
        <v>3738.9</v>
      </c>
      <c r="J37" s="68" t="s">
        <v>700</v>
      </c>
      <c r="L37" s="68">
        <v>36</v>
      </c>
      <c r="M37" s="1" t="s">
        <v>329</v>
      </c>
      <c r="N37" s="1">
        <v>3</v>
      </c>
      <c r="O37" s="54">
        <v>498.3</v>
      </c>
      <c r="P37" s="68" t="s">
        <v>700</v>
      </c>
    </row>
    <row r="38" spans="1:16" x14ac:dyDescent="0.2">
      <c r="A38" s="89">
        <v>37</v>
      </c>
      <c r="B38" s="1" t="s">
        <v>207</v>
      </c>
      <c r="C38" s="91">
        <v>1</v>
      </c>
      <c r="D38" s="90">
        <v>3859.9</v>
      </c>
      <c r="E38" s="76"/>
      <c r="F38" s="70">
        <v>37</v>
      </c>
      <c r="G38" s="1" t="s">
        <v>181</v>
      </c>
      <c r="H38" s="1">
        <v>2</v>
      </c>
      <c r="I38" s="54">
        <v>5057.8</v>
      </c>
      <c r="J38" s="68" t="s">
        <v>700</v>
      </c>
      <c r="L38" s="68">
        <v>37</v>
      </c>
      <c r="M38" s="1" t="s">
        <v>47</v>
      </c>
      <c r="N38" s="1">
        <v>1</v>
      </c>
      <c r="O38" s="54">
        <v>373.8900000000001</v>
      </c>
      <c r="P38" s="68" t="s">
        <v>700</v>
      </c>
    </row>
    <row r="39" spans="1:16" x14ac:dyDescent="0.2">
      <c r="A39" s="89">
        <v>38</v>
      </c>
      <c r="B39" s="1" t="s">
        <v>155</v>
      </c>
      <c r="C39" s="91">
        <v>1</v>
      </c>
      <c r="D39" s="90">
        <v>3848.9</v>
      </c>
      <c r="E39" s="76"/>
      <c r="F39" s="70">
        <v>38</v>
      </c>
      <c r="G39" s="1" t="s">
        <v>329</v>
      </c>
      <c r="H39" s="1">
        <v>1</v>
      </c>
      <c r="I39" s="54">
        <v>1661</v>
      </c>
      <c r="J39" s="68" t="s">
        <v>700</v>
      </c>
      <c r="L39" s="68">
        <v>38</v>
      </c>
      <c r="M39" s="1" t="s">
        <v>181</v>
      </c>
      <c r="N39" s="1">
        <v>2</v>
      </c>
      <c r="O39" s="54">
        <v>505.7800000000002</v>
      </c>
      <c r="P39" s="68" t="s">
        <v>700</v>
      </c>
    </row>
    <row r="40" spans="1:16" x14ac:dyDescent="0.2">
      <c r="A40" s="89">
        <v>39</v>
      </c>
      <c r="B40" s="1" t="s">
        <v>163</v>
      </c>
      <c r="C40" s="91">
        <v>2</v>
      </c>
      <c r="D40" s="90">
        <v>3843.4</v>
      </c>
      <c r="E40" s="76"/>
      <c r="F40" s="70">
        <v>39</v>
      </c>
      <c r="G40" s="1" t="s">
        <v>97</v>
      </c>
      <c r="H40" s="1">
        <v>2</v>
      </c>
      <c r="I40" s="54">
        <v>4837.8</v>
      </c>
      <c r="J40" s="68" t="s">
        <v>700</v>
      </c>
      <c r="L40" s="68">
        <v>39</v>
      </c>
      <c r="M40" s="1" t="s">
        <v>329</v>
      </c>
      <c r="N40" s="1">
        <v>1</v>
      </c>
      <c r="O40" s="54">
        <v>166.1</v>
      </c>
      <c r="P40" s="68" t="s">
        <v>700</v>
      </c>
    </row>
    <row r="41" spans="1:16" x14ac:dyDescent="0.2">
      <c r="A41" s="89">
        <v>40</v>
      </c>
      <c r="B41" s="1" t="s">
        <v>179</v>
      </c>
      <c r="C41" s="91">
        <v>2</v>
      </c>
      <c r="D41" s="90">
        <v>3753.7060000000001</v>
      </c>
      <c r="E41" s="76"/>
      <c r="F41" s="70">
        <v>40</v>
      </c>
      <c r="G41" s="1" t="s">
        <v>73</v>
      </c>
      <c r="H41" s="1">
        <v>2</v>
      </c>
      <c r="I41" s="54">
        <v>5651.8</v>
      </c>
      <c r="J41" s="68" t="s">
        <v>700</v>
      </c>
      <c r="L41" s="68">
        <v>40</v>
      </c>
      <c r="M41" s="1" t="s">
        <v>97</v>
      </c>
      <c r="N41" s="1">
        <v>2</v>
      </c>
      <c r="O41" s="54">
        <v>483.7800000000002</v>
      </c>
      <c r="P41" s="68" t="s">
        <v>700</v>
      </c>
    </row>
    <row r="42" spans="1:16" x14ac:dyDescent="0.2">
      <c r="A42" s="89">
        <v>41</v>
      </c>
      <c r="B42" s="1" t="s">
        <v>47</v>
      </c>
      <c r="C42" s="91">
        <v>1</v>
      </c>
      <c r="D42" s="90">
        <v>3738.9</v>
      </c>
      <c r="E42" s="76"/>
      <c r="F42" s="70">
        <v>41</v>
      </c>
      <c r="G42" s="1" t="s">
        <v>173</v>
      </c>
      <c r="H42" s="1">
        <v>2</v>
      </c>
      <c r="I42" s="54">
        <v>6751.8</v>
      </c>
      <c r="J42" s="68" t="s">
        <v>700</v>
      </c>
      <c r="L42" s="68">
        <v>41</v>
      </c>
      <c r="M42" s="1" t="s">
        <v>73</v>
      </c>
      <c r="N42" s="1">
        <v>2</v>
      </c>
      <c r="O42" s="54">
        <v>565.18000000000018</v>
      </c>
      <c r="P42" s="68" t="s">
        <v>700</v>
      </c>
    </row>
    <row r="43" spans="1:16" x14ac:dyDescent="0.2">
      <c r="A43" s="89">
        <v>42</v>
      </c>
      <c r="B43" s="1" t="s">
        <v>153</v>
      </c>
      <c r="C43" s="91">
        <v>2</v>
      </c>
      <c r="D43" s="90">
        <v>3625.6660000000002</v>
      </c>
      <c r="E43" s="76"/>
      <c r="F43" s="70">
        <v>42</v>
      </c>
      <c r="G43" s="1" t="s">
        <v>141</v>
      </c>
      <c r="H43" s="1">
        <v>1</v>
      </c>
      <c r="I43" s="54">
        <v>1703.9</v>
      </c>
      <c r="J43" s="68" t="s">
        <v>700</v>
      </c>
      <c r="L43" s="68">
        <v>42</v>
      </c>
      <c r="M43" s="1" t="s">
        <v>173</v>
      </c>
      <c r="N43" s="1">
        <v>2</v>
      </c>
      <c r="O43" s="54">
        <v>675.18000000000018</v>
      </c>
      <c r="P43" s="68" t="s">
        <v>700</v>
      </c>
    </row>
    <row r="44" spans="1:16" x14ac:dyDescent="0.2">
      <c r="A44" s="89">
        <v>43</v>
      </c>
      <c r="B44" s="1" t="s">
        <v>279</v>
      </c>
      <c r="C44" s="91">
        <v>4</v>
      </c>
      <c r="D44" s="90">
        <v>3515.6</v>
      </c>
      <c r="E44" s="76"/>
      <c r="F44" s="70">
        <v>43</v>
      </c>
      <c r="G44" s="1" t="s">
        <v>247</v>
      </c>
      <c r="H44" s="1">
        <v>10</v>
      </c>
      <c r="I44" s="54">
        <v>1815</v>
      </c>
      <c r="J44" s="68" t="s">
        <v>700</v>
      </c>
      <c r="L44" s="68">
        <v>43</v>
      </c>
      <c r="M44" s="1" t="s">
        <v>141</v>
      </c>
      <c r="N44" s="1">
        <v>1</v>
      </c>
      <c r="O44" s="54">
        <v>170.3900000000001</v>
      </c>
      <c r="P44" s="68" t="s">
        <v>700</v>
      </c>
    </row>
    <row r="45" spans="1:16" x14ac:dyDescent="0.2">
      <c r="A45" s="89">
        <v>44</v>
      </c>
      <c r="B45" s="1" t="s">
        <v>199</v>
      </c>
      <c r="C45" s="91">
        <v>1</v>
      </c>
      <c r="D45" s="90">
        <v>3495.8</v>
      </c>
      <c r="E45" s="76"/>
      <c r="F45" s="70">
        <v>44</v>
      </c>
      <c r="G45" s="1" t="s">
        <v>95</v>
      </c>
      <c r="H45" s="1">
        <v>2</v>
      </c>
      <c r="I45" s="54">
        <v>3986.444</v>
      </c>
      <c r="J45" s="68" t="s">
        <v>700</v>
      </c>
      <c r="L45" s="68">
        <v>44</v>
      </c>
      <c r="M45" s="1" t="s">
        <v>247</v>
      </c>
      <c r="N45" s="1">
        <v>10</v>
      </c>
      <c r="O45" s="54">
        <v>181.5</v>
      </c>
      <c r="P45" s="68" t="s">
        <v>700</v>
      </c>
    </row>
    <row r="46" spans="1:16" x14ac:dyDescent="0.2">
      <c r="A46" s="89">
        <v>45</v>
      </c>
      <c r="B46" s="1" t="s">
        <v>145</v>
      </c>
      <c r="C46" s="91">
        <v>3</v>
      </c>
      <c r="D46" s="90">
        <v>3485.8890000000001</v>
      </c>
      <c r="E46" s="76"/>
      <c r="F46" s="70">
        <v>45</v>
      </c>
      <c r="G46" t="s">
        <v>27</v>
      </c>
      <c r="H46">
        <v>4</v>
      </c>
      <c r="I46" s="54">
        <v>2195.6</v>
      </c>
      <c r="J46" s="68" t="s">
        <v>690</v>
      </c>
      <c r="L46" s="68">
        <v>45</v>
      </c>
      <c r="M46" s="1" t="s">
        <v>95</v>
      </c>
      <c r="N46" s="1">
        <v>2</v>
      </c>
      <c r="O46" s="54">
        <v>325.42400000000021</v>
      </c>
      <c r="P46" s="68" t="s">
        <v>700</v>
      </c>
    </row>
    <row r="47" spans="1:16" x14ac:dyDescent="0.2">
      <c r="A47" s="89">
        <v>46</v>
      </c>
      <c r="B47" t="s">
        <v>37</v>
      </c>
      <c r="C47" s="91">
        <v>1</v>
      </c>
      <c r="D47" s="90">
        <v>3448.5219999999999</v>
      </c>
      <c r="E47" s="76"/>
      <c r="F47" s="70">
        <v>46</v>
      </c>
      <c r="G47" s="1" t="s">
        <v>145</v>
      </c>
      <c r="H47" s="1">
        <v>3</v>
      </c>
      <c r="I47" s="54">
        <v>3485.8890000000001</v>
      </c>
      <c r="J47" s="68" t="s">
        <v>690</v>
      </c>
      <c r="L47" s="68">
        <v>46</v>
      </c>
      <c r="M47" t="s">
        <v>27</v>
      </c>
      <c r="N47">
        <v>4</v>
      </c>
      <c r="O47" s="54">
        <v>219.55999999999989</v>
      </c>
      <c r="P47" s="68" t="s">
        <v>690</v>
      </c>
    </row>
    <row r="48" spans="1:16" x14ac:dyDescent="0.2">
      <c r="A48" s="89">
        <v>47</v>
      </c>
      <c r="B48" s="1" t="s">
        <v>203</v>
      </c>
      <c r="C48" s="91">
        <v>2</v>
      </c>
      <c r="D48" s="90">
        <v>3429.8</v>
      </c>
      <c r="E48" s="75"/>
      <c r="F48" s="70">
        <v>47</v>
      </c>
      <c r="G48" s="1" t="s">
        <v>179</v>
      </c>
      <c r="H48" s="1">
        <v>2</v>
      </c>
      <c r="I48" s="54">
        <v>3753.7060000000001</v>
      </c>
      <c r="J48" s="68" t="s">
        <v>690</v>
      </c>
      <c r="L48" s="68">
        <v>47</v>
      </c>
      <c r="M48" s="1" t="s">
        <v>145</v>
      </c>
      <c r="N48" s="1">
        <v>3</v>
      </c>
      <c r="O48" s="54">
        <v>251.55900000000031</v>
      </c>
      <c r="P48" s="68" t="s">
        <v>690</v>
      </c>
    </row>
    <row r="49" spans="1:16" x14ac:dyDescent="0.2">
      <c r="A49" s="89">
        <v>48</v>
      </c>
      <c r="B49" s="1" t="s">
        <v>121</v>
      </c>
      <c r="C49" s="91">
        <v>1</v>
      </c>
      <c r="D49" s="90">
        <v>3364.9</v>
      </c>
      <c r="E49" s="76"/>
      <c r="F49" s="70">
        <v>48</v>
      </c>
      <c r="G49" s="1" t="s">
        <v>65</v>
      </c>
      <c r="H49" s="1">
        <v>1</v>
      </c>
      <c r="I49" s="54">
        <v>5278.9</v>
      </c>
      <c r="J49" s="68" t="s">
        <v>690</v>
      </c>
      <c r="L49" s="68">
        <v>48</v>
      </c>
      <c r="M49" s="1" t="s">
        <v>179</v>
      </c>
      <c r="N49" s="1">
        <v>2</v>
      </c>
      <c r="O49" s="54">
        <v>270.88600000000019</v>
      </c>
      <c r="P49" s="68" t="s">
        <v>690</v>
      </c>
    </row>
    <row r="50" spans="1:16" x14ac:dyDescent="0.2">
      <c r="A50" s="89">
        <v>49</v>
      </c>
      <c r="B50" s="1" t="s">
        <v>253</v>
      </c>
      <c r="C50" s="91">
        <v>5</v>
      </c>
      <c r="D50" s="90">
        <v>3309.3059999999996</v>
      </c>
      <c r="E50" s="76"/>
      <c r="F50" s="70">
        <v>49</v>
      </c>
      <c r="G50" s="1" t="s">
        <v>65</v>
      </c>
      <c r="H50" s="1">
        <v>1</v>
      </c>
      <c r="I50" s="54">
        <v>5278.9</v>
      </c>
      <c r="J50" s="68" t="s">
        <v>690</v>
      </c>
      <c r="L50" s="68">
        <v>49</v>
      </c>
      <c r="M50" s="1" t="s">
        <v>65</v>
      </c>
      <c r="N50" s="1">
        <v>1</v>
      </c>
      <c r="O50" s="54">
        <v>527.88999999999953</v>
      </c>
      <c r="P50" s="68" t="s">
        <v>690</v>
      </c>
    </row>
    <row r="51" spans="1:16" x14ac:dyDescent="0.2">
      <c r="A51" s="89">
        <v>50</v>
      </c>
      <c r="B51" s="1" t="s">
        <v>131</v>
      </c>
      <c r="C51" s="91">
        <v>1</v>
      </c>
      <c r="D51" s="90">
        <v>3265.9</v>
      </c>
      <c r="E51" s="76"/>
      <c r="F51" s="70">
        <v>50</v>
      </c>
      <c r="G51" t="s">
        <v>223</v>
      </c>
      <c r="H51" s="1">
        <v>10</v>
      </c>
      <c r="I51" s="54">
        <v>1067.22</v>
      </c>
      <c r="J51" s="68" t="s">
        <v>698</v>
      </c>
      <c r="L51" s="68">
        <v>50</v>
      </c>
      <c r="M51" s="1" t="s">
        <v>65</v>
      </c>
      <c r="N51" s="1">
        <v>1</v>
      </c>
      <c r="O51" s="54">
        <v>527.88999999999953</v>
      </c>
      <c r="P51" s="68" t="s">
        <v>690</v>
      </c>
    </row>
    <row r="52" spans="1:16" x14ac:dyDescent="0.2">
      <c r="A52" s="89">
        <v>51</v>
      </c>
      <c r="B52" s="1" t="s">
        <v>185</v>
      </c>
      <c r="C52" s="91">
        <v>2</v>
      </c>
      <c r="D52" s="90">
        <v>3209.8</v>
      </c>
      <c r="E52" s="76"/>
      <c r="F52" s="70">
        <v>51</v>
      </c>
      <c r="G52" s="1" t="s">
        <v>127</v>
      </c>
      <c r="H52" s="1">
        <v>2</v>
      </c>
      <c r="I52" s="54">
        <v>8137.8</v>
      </c>
      <c r="J52" s="68" t="s">
        <v>698</v>
      </c>
      <c r="L52" s="68">
        <v>51</v>
      </c>
      <c r="M52" t="s">
        <v>223</v>
      </c>
      <c r="N52" s="1">
        <v>10</v>
      </c>
      <c r="O52" s="54">
        <v>87.120000000000061</v>
      </c>
      <c r="P52" s="68" t="s">
        <v>698</v>
      </c>
    </row>
    <row r="53" spans="1:16" x14ac:dyDescent="0.2">
      <c r="A53" s="89">
        <v>52</v>
      </c>
      <c r="B53" t="s">
        <v>69</v>
      </c>
      <c r="C53" s="91">
        <v>1</v>
      </c>
      <c r="D53" s="90">
        <v>3100.9</v>
      </c>
      <c r="E53" s="76"/>
      <c r="F53" s="70">
        <v>52</v>
      </c>
      <c r="G53" s="1" t="s">
        <v>259</v>
      </c>
      <c r="H53" s="1">
        <v>3</v>
      </c>
      <c r="I53" s="54">
        <v>1580.6999999999998</v>
      </c>
      <c r="J53" s="68" t="s">
        <v>698</v>
      </c>
      <c r="L53" s="68">
        <v>52</v>
      </c>
      <c r="M53" s="1" t="s">
        <v>127</v>
      </c>
      <c r="N53" s="1">
        <v>2</v>
      </c>
      <c r="O53" s="54">
        <v>813.7800000000002</v>
      </c>
      <c r="P53" s="68" t="s">
        <v>698</v>
      </c>
    </row>
    <row r="54" spans="1:16" x14ac:dyDescent="0.2">
      <c r="A54" s="89">
        <v>53</v>
      </c>
      <c r="B54" s="1" t="s">
        <v>287</v>
      </c>
      <c r="C54" s="91">
        <v>8</v>
      </c>
      <c r="D54" s="90">
        <v>3096.0159999999996</v>
      </c>
      <c r="E54" s="76"/>
      <c r="F54" s="70">
        <v>53</v>
      </c>
      <c r="G54" s="1" t="s">
        <v>287</v>
      </c>
      <c r="H54" s="1">
        <v>8</v>
      </c>
      <c r="I54" s="54">
        <v>3096.0159999999996</v>
      </c>
      <c r="J54" s="68" t="s">
        <v>698</v>
      </c>
      <c r="L54" s="68">
        <v>53</v>
      </c>
      <c r="M54" s="1" t="s">
        <v>259</v>
      </c>
      <c r="N54" s="1">
        <v>3</v>
      </c>
      <c r="O54" s="54">
        <v>158.06999999999991</v>
      </c>
      <c r="P54" s="68" t="s">
        <v>698</v>
      </c>
    </row>
    <row r="55" spans="1:16" x14ac:dyDescent="0.2">
      <c r="A55" s="89">
        <v>54</v>
      </c>
      <c r="B55" t="s">
        <v>101</v>
      </c>
      <c r="C55" s="91">
        <v>1</v>
      </c>
      <c r="D55" s="90">
        <v>3093.2330000000002</v>
      </c>
      <c r="E55" s="76"/>
      <c r="F55" s="70">
        <v>54</v>
      </c>
      <c r="G55" s="1" t="s">
        <v>253</v>
      </c>
      <c r="H55" s="1">
        <v>3</v>
      </c>
      <c r="I55" s="54">
        <v>2009.6999999999998</v>
      </c>
      <c r="J55" s="68" t="s">
        <v>698</v>
      </c>
      <c r="L55" s="68">
        <v>54</v>
      </c>
      <c r="M55" s="1" t="s">
        <v>287</v>
      </c>
      <c r="N55" s="1">
        <v>8</v>
      </c>
      <c r="O55" s="54">
        <v>252.73599999999979</v>
      </c>
      <c r="P55" s="68" t="s">
        <v>698</v>
      </c>
    </row>
    <row r="56" spans="1:16" x14ac:dyDescent="0.2">
      <c r="A56" s="89">
        <v>55</v>
      </c>
      <c r="B56" s="1" t="s">
        <v>51</v>
      </c>
      <c r="C56" s="89">
        <v>3</v>
      </c>
      <c r="D56" s="90">
        <v>2909.7089999999998</v>
      </c>
      <c r="E56" s="76"/>
      <c r="F56" s="70">
        <v>55</v>
      </c>
      <c r="G56" s="1" t="s">
        <v>77</v>
      </c>
      <c r="H56" s="1">
        <v>1</v>
      </c>
      <c r="I56" s="54">
        <v>5371.3</v>
      </c>
      <c r="J56" s="68" t="s">
        <v>698</v>
      </c>
      <c r="L56" s="68">
        <v>55</v>
      </c>
      <c r="M56" s="1" t="s">
        <v>253</v>
      </c>
      <c r="N56" s="1">
        <v>3</v>
      </c>
      <c r="O56" s="54">
        <v>200.96999999999991</v>
      </c>
      <c r="P56" s="68" t="s">
        <v>698</v>
      </c>
    </row>
    <row r="57" spans="1:16" x14ac:dyDescent="0.2">
      <c r="A57" s="89">
        <v>56</v>
      </c>
      <c r="B57" s="1" t="s">
        <v>57</v>
      </c>
      <c r="C57" s="91">
        <v>1</v>
      </c>
      <c r="D57" s="90">
        <v>2748.9</v>
      </c>
      <c r="E57" s="76"/>
      <c r="F57" s="70">
        <v>56</v>
      </c>
      <c r="G57" s="1" t="s">
        <v>77</v>
      </c>
      <c r="H57" s="1">
        <v>1</v>
      </c>
      <c r="I57" s="54">
        <v>5371.3</v>
      </c>
      <c r="J57" s="68" t="s">
        <v>698</v>
      </c>
      <c r="L57" s="68">
        <v>56</v>
      </c>
      <c r="M57" s="1" t="s">
        <v>77</v>
      </c>
      <c r="N57" s="1">
        <v>1</v>
      </c>
      <c r="O57" s="54">
        <v>537.13000000000022</v>
      </c>
      <c r="P57" s="68" t="s">
        <v>698</v>
      </c>
    </row>
    <row r="58" spans="1:16" x14ac:dyDescent="0.2">
      <c r="A58" s="89">
        <v>57</v>
      </c>
      <c r="B58" s="1" t="s">
        <v>161</v>
      </c>
      <c r="C58" s="91">
        <v>1</v>
      </c>
      <c r="D58" s="90">
        <v>2724.7</v>
      </c>
      <c r="E58" s="76"/>
      <c r="F58" s="70">
        <v>57</v>
      </c>
      <c r="G58" s="1" t="s">
        <v>253</v>
      </c>
      <c r="H58" s="1">
        <v>2</v>
      </c>
      <c r="I58" s="54">
        <v>1299.606</v>
      </c>
      <c r="J58" s="68" t="s">
        <v>698</v>
      </c>
      <c r="L58" s="68">
        <v>57</v>
      </c>
      <c r="M58" s="1" t="s">
        <v>77</v>
      </c>
      <c r="N58" s="1">
        <v>1</v>
      </c>
      <c r="O58" s="54">
        <v>537.13000000000022</v>
      </c>
      <c r="P58" s="68" t="s">
        <v>698</v>
      </c>
    </row>
    <row r="59" spans="1:16" x14ac:dyDescent="0.2">
      <c r="A59" s="89">
        <v>58</v>
      </c>
      <c r="B59" s="1" t="s">
        <v>311</v>
      </c>
      <c r="C59" s="91">
        <v>2</v>
      </c>
      <c r="D59" s="90">
        <v>2585.0440000000003</v>
      </c>
      <c r="E59" s="76"/>
      <c r="F59" s="70">
        <v>58</v>
      </c>
      <c r="G59" t="s">
        <v>117</v>
      </c>
      <c r="H59" s="1">
        <v>1</v>
      </c>
      <c r="I59" s="54">
        <v>4647.5</v>
      </c>
      <c r="J59" s="68" t="s">
        <v>697</v>
      </c>
      <c r="L59" s="68">
        <v>58</v>
      </c>
      <c r="M59" s="1" t="s">
        <v>253</v>
      </c>
      <c r="N59" s="1">
        <v>2</v>
      </c>
      <c r="O59" s="54">
        <v>93.785999999999945</v>
      </c>
      <c r="P59" s="68" t="s">
        <v>698</v>
      </c>
    </row>
    <row r="60" spans="1:16" x14ac:dyDescent="0.2">
      <c r="A60" s="89">
        <v>59</v>
      </c>
      <c r="B60" s="1" t="s">
        <v>183</v>
      </c>
      <c r="C60" s="91">
        <v>1</v>
      </c>
      <c r="D60" s="90">
        <v>2440.9</v>
      </c>
      <c r="E60" s="76"/>
      <c r="F60" s="70">
        <v>59</v>
      </c>
      <c r="G60" s="1" t="s">
        <v>299</v>
      </c>
      <c r="H60" s="1">
        <v>5</v>
      </c>
      <c r="I60" s="54">
        <v>2139.5</v>
      </c>
      <c r="J60" s="68" t="s">
        <v>697</v>
      </c>
      <c r="L60" s="68">
        <v>59</v>
      </c>
      <c r="M60" s="1" t="s">
        <v>91</v>
      </c>
      <c r="N60" s="1">
        <v>2</v>
      </c>
      <c r="O60" s="54">
        <v>850.52000000000089</v>
      </c>
      <c r="P60" s="68" t="s">
        <v>698</v>
      </c>
    </row>
    <row r="61" spans="1:16" x14ac:dyDescent="0.2">
      <c r="A61" s="89">
        <v>60</v>
      </c>
      <c r="B61" s="1" t="s">
        <v>211</v>
      </c>
      <c r="C61" s="91">
        <v>1</v>
      </c>
      <c r="D61" s="90">
        <v>2308.9</v>
      </c>
      <c r="E61" s="76"/>
      <c r="F61" s="70">
        <v>60</v>
      </c>
      <c r="G61" s="1" t="s">
        <v>187</v>
      </c>
      <c r="H61" s="1">
        <v>1</v>
      </c>
      <c r="I61" s="54">
        <v>1153.9000000000001</v>
      </c>
      <c r="J61" s="68" t="s">
        <v>697</v>
      </c>
      <c r="L61" s="68">
        <v>60</v>
      </c>
      <c r="M61" t="s">
        <v>117</v>
      </c>
      <c r="N61" s="1">
        <v>1</v>
      </c>
      <c r="O61" s="54">
        <v>464.75</v>
      </c>
      <c r="P61" s="68" t="s">
        <v>697</v>
      </c>
    </row>
    <row r="62" spans="1:16" x14ac:dyDescent="0.2">
      <c r="A62" s="89">
        <v>61</v>
      </c>
      <c r="B62" s="1" t="s">
        <v>275</v>
      </c>
      <c r="C62" s="91">
        <v>1</v>
      </c>
      <c r="D62" s="90">
        <v>2198.9</v>
      </c>
      <c r="E62" s="76"/>
      <c r="F62" s="70">
        <v>61</v>
      </c>
      <c r="G62" s="1" t="s">
        <v>133</v>
      </c>
      <c r="H62" s="1">
        <v>1</v>
      </c>
      <c r="I62" s="54">
        <v>6378.9</v>
      </c>
      <c r="J62" s="68" t="s">
        <v>697</v>
      </c>
      <c r="L62" s="68">
        <v>61</v>
      </c>
      <c r="M62" s="1" t="s">
        <v>299</v>
      </c>
      <c r="N62" s="1">
        <v>5</v>
      </c>
      <c r="O62" s="54">
        <v>213.94999999999987</v>
      </c>
      <c r="P62" s="68" t="s">
        <v>697</v>
      </c>
    </row>
    <row r="63" spans="1:16" x14ac:dyDescent="0.2">
      <c r="A63" s="89">
        <v>62</v>
      </c>
      <c r="B63" t="s">
        <v>27</v>
      </c>
      <c r="C63" s="91">
        <v>4</v>
      </c>
      <c r="D63" s="90">
        <v>2195.6</v>
      </c>
      <c r="E63" s="76"/>
      <c r="F63" s="70">
        <v>62</v>
      </c>
      <c r="G63" s="1" t="s">
        <v>123</v>
      </c>
      <c r="H63" s="1">
        <v>2</v>
      </c>
      <c r="I63" s="54">
        <v>4741.0439999999999</v>
      </c>
      <c r="J63" s="68" t="s">
        <v>697</v>
      </c>
      <c r="L63" s="68">
        <v>62</v>
      </c>
      <c r="M63" s="1" t="s">
        <v>187</v>
      </c>
      <c r="N63" s="1">
        <v>1</v>
      </c>
      <c r="O63" s="54">
        <v>115.39000000000011</v>
      </c>
      <c r="P63" s="68" t="s">
        <v>697</v>
      </c>
    </row>
    <row r="64" spans="1:16" x14ac:dyDescent="0.2">
      <c r="A64" s="89">
        <v>63</v>
      </c>
      <c r="B64" s="1" t="s">
        <v>299</v>
      </c>
      <c r="C64" s="91">
        <v>5</v>
      </c>
      <c r="D64" s="90">
        <v>2139.5</v>
      </c>
      <c r="E64" s="76"/>
      <c r="F64" s="70">
        <v>63</v>
      </c>
      <c r="G64" s="1" t="s">
        <v>205</v>
      </c>
      <c r="H64" s="1">
        <v>1</v>
      </c>
      <c r="I64" s="54">
        <v>1428.9</v>
      </c>
      <c r="J64" s="68" t="s">
        <v>697</v>
      </c>
      <c r="L64" s="68">
        <v>63</v>
      </c>
      <c r="M64" s="1" t="s">
        <v>133</v>
      </c>
      <c r="N64" s="1">
        <v>1</v>
      </c>
      <c r="O64" s="54">
        <v>637.88999999999953</v>
      </c>
      <c r="P64" s="68" t="s">
        <v>697</v>
      </c>
    </row>
    <row r="65" spans="1:16" x14ac:dyDescent="0.2">
      <c r="A65" s="89">
        <v>64</v>
      </c>
      <c r="B65" s="1" t="s">
        <v>33</v>
      </c>
      <c r="C65" s="91">
        <v>3</v>
      </c>
      <c r="D65" s="90">
        <v>2095.5996599999999</v>
      </c>
      <c r="E65" s="76"/>
      <c r="F65" s="70">
        <v>64</v>
      </c>
      <c r="G65" s="1" t="s">
        <v>117</v>
      </c>
      <c r="H65" s="1">
        <v>1</v>
      </c>
      <c r="I65" s="54">
        <v>4647.5</v>
      </c>
      <c r="J65" s="68" t="s">
        <v>697</v>
      </c>
      <c r="L65" s="68">
        <v>64</v>
      </c>
      <c r="M65" s="1" t="s">
        <v>123</v>
      </c>
      <c r="N65" s="1">
        <v>2</v>
      </c>
      <c r="O65" s="54">
        <v>387.02400000000023</v>
      </c>
      <c r="P65" s="68" t="s">
        <v>697</v>
      </c>
    </row>
    <row r="66" spans="1:16" x14ac:dyDescent="0.2">
      <c r="A66" s="89">
        <v>65</v>
      </c>
      <c r="B66" s="1" t="s">
        <v>289</v>
      </c>
      <c r="C66" s="91">
        <v>7</v>
      </c>
      <c r="D66" s="90">
        <v>1954.414</v>
      </c>
      <c r="E66" s="76"/>
      <c r="F66" s="70">
        <v>65</v>
      </c>
      <c r="G66" t="s">
        <v>37</v>
      </c>
      <c r="H66">
        <v>1</v>
      </c>
      <c r="I66" s="54">
        <v>3448.5219999999999</v>
      </c>
      <c r="J66" s="68" t="s">
        <v>691</v>
      </c>
      <c r="L66" s="68">
        <v>65</v>
      </c>
      <c r="M66" s="1" t="s">
        <v>205</v>
      </c>
      <c r="N66" s="1">
        <v>1</v>
      </c>
      <c r="O66" s="54">
        <v>142.8900000000001</v>
      </c>
      <c r="P66" s="68" t="s">
        <v>697</v>
      </c>
    </row>
    <row r="67" spans="1:16" x14ac:dyDescent="0.2">
      <c r="A67" s="89">
        <v>66</v>
      </c>
      <c r="B67" s="1" t="s">
        <v>247</v>
      </c>
      <c r="C67" s="91">
        <v>10</v>
      </c>
      <c r="D67" s="90">
        <v>1815</v>
      </c>
      <c r="E67" s="76"/>
      <c r="F67" s="70">
        <v>66</v>
      </c>
      <c r="G67" t="s">
        <v>43</v>
      </c>
      <c r="H67">
        <v>2</v>
      </c>
      <c r="I67" s="54">
        <v>8797.7999999999993</v>
      </c>
      <c r="J67" s="68" t="s">
        <v>691</v>
      </c>
      <c r="L67" s="68">
        <v>66</v>
      </c>
      <c r="M67" s="1" t="s">
        <v>117</v>
      </c>
      <c r="N67" s="1">
        <v>1</v>
      </c>
      <c r="O67" s="54">
        <v>464.75</v>
      </c>
      <c r="P67" s="68" t="s">
        <v>697</v>
      </c>
    </row>
    <row r="68" spans="1:16" x14ac:dyDescent="0.2">
      <c r="A68" s="89">
        <v>67</v>
      </c>
      <c r="B68" s="1" t="s">
        <v>269</v>
      </c>
      <c r="C68" s="91">
        <v>5</v>
      </c>
      <c r="D68" s="90">
        <v>1719.4099999999999</v>
      </c>
      <c r="E68" s="76"/>
      <c r="F68" s="70">
        <v>67</v>
      </c>
      <c r="G68" s="1" t="s">
        <v>243</v>
      </c>
      <c r="H68" s="1">
        <v>3</v>
      </c>
      <c r="I68" s="54">
        <v>636.99900000000002</v>
      </c>
      <c r="J68" s="68" t="s">
        <v>691</v>
      </c>
      <c r="L68" s="68">
        <v>67</v>
      </c>
      <c r="M68" t="s">
        <v>37</v>
      </c>
      <c r="N68">
        <v>1</v>
      </c>
      <c r="O68" s="54">
        <v>281.51200000000011</v>
      </c>
      <c r="P68" s="68" t="s">
        <v>691</v>
      </c>
    </row>
    <row r="69" spans="1:16" x14ac:dyDescent="0.2">
      <c r="A69" s="89">
        <v>68</v>
      </c>
      <c r="B69" s="1" t="s">
        <v>141</v>
      </c>
      <c r="C69" s="89">
        <v>1</v>
      </c>
      <c r="D69" s="90">
        <v>1703.9</v>
      </c>
      <c r="E69" s="76"/>
      <c r="F69" s="70">
        <v>68</v>
      </c>
      <c r="G69" s="1" t="s">
        <v>45</v>
      </c>
      <c r="H69" s="1">
        <v>1</v>
      </c>
      <c r="I69" s="54">
        <v>36276.932999999997</v>
      </c>
      <c r="J69" s="68" t="s">
        <v>691</v>
      </c>
      <c r="L69" s="68">
        <v>68</v>
      </c>
      <c r="M69" t="s">
        <v>43</v>
      </c>
      <c r="N69">
        <v>2</v>
      </c>
      <c r="O69" s="54">
        <v>879.77999999999918</v>
      </c>
      <c r="P69" s="68" t="s">
        <v>691</v>
      </c>
    </row>
    <row r="70" spans="1:16" x14ac:dyDescent="0.2">
      <c r="A70" s="89">
        <v>69</v>
      </c>
      <c r="B70" s="1" t="s">
        <v>149</v>
      </c>
      <c r="C70" s="91">
        <v>1</v>
      </c>
      <c r="D70" s="90">
        <v>1648.9</v>
      </c>
      <c r="E70" s="76"/>
      <c r="F70" s="70">
        <v>69</v>
      </c>
      <c r="G70" s="1" t="s">
        <v>113</v>
      </c>
      <c r="H70" s="1">
        <v>1</v>
      </c>
      <c r="I70" s="54">
        <v>4343.8999999999996</v>
      </c>
      <c r="J70" s="68" t="s">
        <v>691</v>
      </c>
      <c r="L70" s="68">
        <v>69</v>
      </c>
      <c r="M70" s="1" t="s">
        <v>243</v>
      </c>
      <c r="N70" s="1">
        <v>3</v>
      </c>
      <c r="O70" s="54">
        <v>45.969000000000023</v>
      </c>
      <c r="P70" s="68" t="s">
        <v>691</v>
      </c>
    </row>
    <row r="71" spans="1:16" x14ac:dyDescent="0.2">
      <c r="A71" s="89">
        <v>70</v>
      </c>
      <c r="B71" s="1" t="s">
        <v>259</v>
      </c>
      <c r="C71" s="91">
        <v>3</v>
      </c>
      <c r="D71" s="90">
        <v>1580.6999999999998</v>
      </c>
      <c r="E71" s="76"/>
      <c r="F71" s="70">
        <v>70</v>
      </c>
      <c r="G71" s="1" t="s">
        <v>189</v>
      </c>
      <c r="H71" s="1">
        <v>2</v>
      </c>
      <c r="I71" s="54">
        <v>4387.46</v>
      </c>
      <c r="J71" s="68" t="s">
        <v>691</v>
      </c>
      <c r="L71" s="68">
        <v>70</v>
      </c>
      <c r="M71" s="1" t="s">
        <v>45</v>
      </c>
      <c r="N71" s="1">
        <v>1</v>
      </c>
      <c r="O71" s="54">
        <v>2617.9230000000016</v>
      </c>
      <c r="P71" s="68" t="s">
        <v>691</v>
      </c>
    </row>
    <row r="72" spans="1:16" x14ac:dyDescent="0.2">
      <c r="A72" s="89">
        <v>71</v>
      </c>
      <c r="B72" s="1" t="s">
        <v>205</v>
      </c>
      <c r="C72" s="89">
        <v>1</v>
      </c>
      <c r="D72" s="90">
        <v>1428.9</v>
      </c>
      <c r="E72" s="76"/>
      <c r="F72" s="70">
        <v>71</v>
      </c>
      <c r="G72" s="1" t="s">
        <v>121</v>
      </c>
      <c r="H72" s="1">
        <v>1</v>
      </c>
      <c r="I72" s="54">
        <v>3364.9</v>
      </c>
      <c r="J72" s="68" t="s">
        <v>691</v>
      </c>
      <c r="L72" s="68">
        <v>71</v>
      </c>
      <c r="M72" s="1" t="s">
        <v>113</v>
      </c>
      <c r="N72" s="1">
        <v>1</v>
      </c>
      <c r="O72" s="54">
        <v>434.38999999999959</v>
      </c>
      <c r="P72" s="68" t="s">
        <v>691</v>
      </c>
    </row>
    <row r="73" spans="1:16" x14ac:dyDescent="0.2">
      <c r="A73" s="89">
        <v>72</v>
      </c>
      <c r="B73" s="1" t="s">
        <v>85</v>
      </c>
      <c r="C73" s="91">
        <v>2</v>
      </c>
      <c r="D73" s="90">
        <v>1331</v>
      </c>
      <c r="E73" s="76"/>
      <c r="F73" s="70">
        <v>72</v>
      </c>
      <c r="G73" t="s">
        <v>101</v>
      </c>
      <c r="H73">
        <v>1</v>
      </c>
      <c r="I73" s="54">
        <v>3093.2330000000002</v>
      </c>
      <c r="J73" s="68" t="s">
        <v>696</v>
      </c>
      <c r="L73" s="68">
        <v>72</v>
      </c>
      <c r="M73" s="1" t="s">
        <v>189</v>
      </c>
      <c r="N73" s="1">
        <v>2</v>
      </c>
      <c r="O73" s="54">
        <v>358.16</v>
      </c>
      <c r="P73" s="68" t="s">
        <v>691</v>
      </c>
    </row>
    <row r="74" spans="1:16" x14ac:dyDescent="0.2">
      <c r="A74" s="89">
        <v>73</v>
      </c>
      <c r="B74" s="1" t="s">
        <v>319</v>
      </c>
      <c r="C74" s="91">
        <v>2</v>
      </c>
      <c r="D74" s="90">
        <v>1291.444</v>
      </c>
      <c r="E74" s="76"/>
      <c r="F74" s="70">
        <v>73</v>
      </c>
      <c r="G74" s="1" t="s">
        <v>319</v>
      </c>
      <c r="H74" s="1">
        <v>2</v>
      </c>
      <c r="I74" s="54">
        <v>1291.444</v>
      </c>
      <c r="J74" s="68" t="s">
        <v>696</v>
      </c>
      <c r="L74" s="68">
        <v>73</v>
      </c>
      <c r="M74" s="1" t="s">
        <v>121</v>
      </c>
      <c r="N74" s="1">
        <v>1</v>
      </c>
      <c r="O74" s="54">
        <v>336.49000000000012</v>
      </c>
      <c r="P74" s="68" t="s">
        <v>691</v>
      </c>
    </row>
    <row r="75" spans="1:16" x14ac:dyDescent="0.2">
      <c r="A75" s="89">
        <v>74</v>
      </c>
      <c r="B75" s="1" t="s">
        <v>187</v>
      </c>
      <c r="C75" s="91">
        <v>1</v>
      </c>
      <c r="D75" s="90">
        <v>1153.9000000000001</v>
      </c>
      <c r="E75" s="76"/>
      <c r="F75" s="70">
        <v>74</v>
      </c>
      <c r="G75" s="1" t="s">
        <v>307</v>
      </c>
      <c r="H75" s="1">
        <v>2</v>
      </c>
      <c r="I75" s="54">
        <v>767.8</v>
      </c>
      <c r="J75" s="68" t="s">
        <v>696</v>
      </c>
      <c r="L75" s="68">
        <v>74</v>
      </c>
      <c r="M75" t="s">
        <v>101</v>
      </c>
      <c r="N75">
        <v>1</v>
      </c>
      <c r="O75" s="54">
        <v>223.2230000000001</v>
      </c>
      <c r="P75" s="68" t="s">
        <v>696</v>
      </c>
    </row>
    <row r="76" spans="1:16" x14ac:dyDescent="0.2">
      <c r="A76" s="89">
        <v>75</v>
      </c>
      <c r="B76" s="1" t="s">
        <v>291</v>
      </c>
      <c r="C76" s="91">
        <v>1</v>
      </c>
      <c r="D76" s="90">
        <v>1098.9000000000001</v>
      </c>
      <c r="E76" s="76"/>
      <c r="F76" s="70">
        <v>75</v>
      </c>
      <c r="G76" s="1" t="s">
        <v>269</v>
      </c>
      <c r="H76" s="1">
        <v>5</v>
      </c>
      <c r="I76" s="54">
        <v>1719.4099999999999</v>
      </c>
      <c r="J76" s="68" t="s">
        <v>696</v>
      </c>
      <c r="L76" s="68">
        <v>75</v>
      </c>
      <c r="M76" s="1" t="s">
        <v>319</v>
      </c>
      <c r="N76" s="1">
        <v>2</v>
      </c>
      <c r="O76" s="54">
        <v>105.42399999999995</v>
      </c>
      <c r="P76" s="68" t="s">
        <v>696</v>
      </c>
    </row>
    <row r="77" spans="1:16" x14ac:dyDescent="0.2">
      <c r="A77" s="89">
        <v>76</v>
      </c>
      <c r="B77" t="s">
        <v>223</v>
      </c>
      <c r="C77" s="91">
        <v>10</v>
      </c>
      <c r="D77" s="90">
        <v>1067.22</v>
      </c>
      <c r="E77" s="76"/>
      <c r="F77" s="70">
        <v>76</v>
      </c>
      <c r="G77" s="1" t="s">
        <v>301</v>
      </c>
      <c r="H77" s="1">
        <v>2</v>
      </c>
      <c r="I77" s="54">
        <v>1009.8</v>
      </c>
      <c r="J77" s="68" t="s">
        <v>696</v>
      </c>
      <c r="L77" s="68">
        <v>76</v>
      </c>
      <c r="M77" s="1" t="s">
        <v>307</v>
      </c>
      <c r="N77" s="1">
        <v>2</v>
      </c>
      <c r="O77" s="54">
        <v>76.779999999999944</v>
      </c>
      <c r="P77" s="68" t="s">
        <v>696</v>
      </c>
    </row>
    <row r="78" spans="1:16" x14ac:dyDescent="0.2">
      <c r="A78" s="89">
        <v>77</v>
      </c>
      <c r="B78" s="1" t="s">
        <v>241</v>
      </c>
      <c r="C78" s="91">
        <v>9</v>
      </c>
      <c r="D78" s="90">
        <v>1057.518</v>
      </c>
      <c r="E78" s="76"/>
      <c r="F78" s="70">
        <v>77</v>
      </c>
      <c r="G78" s="1" t="s">
        <v>275</v>
      </c>
      <c r="H78" s="1">
        <v>1</v>
      </c>
      <c r="I78" s="54">
        <v>2198.9</v>
      </c>
      <c r="J78" s="68" t="s">
        <v>696</v>
      </c>
      <c r="L78" s="68">
        <v>77</v>
      </c>
      <c r="M78" s="1" t="s">
        <v>269</v>
      </c>
      <c r="N78" s="1">
        <v>5</v>
      </c>
      <c r="O78" s="54">
        <v>140.35999999999987</v>
      </c>
      <c r="P78" s="68" t="s">
        <v>696</v>
      </c>
    </row>
    <row r="79" spans="1:16" x14ac:dyDescent="0.2">
      <c r="A79" s="89">
        <v>78</v>
      </c>
      <c r="B79" s="1" t="s">
        <v>301</v>
      </c>
      <c r="C79" s="91">
        <v>2</v>
      </c>
      <c r="D79" s="90">
        <v>1009.8</v>
      </c>
      <c r="E79" s="76"/>
      <c r="F79" s="70">
        <v>78</v>
      </c>
      <c r="G79" s="1" t="s">
        <v>105</v>
      </c>
      <c r="H79" s="1">
        <v>1</v>
      </c>
      <c r="I79" s="54">
        <v>4203.1219999999994</v>
      </c>
      <c r="J79" s="68" t="s">
        <v>696</v>
      </c>
      <c r="L79" s="68">
        <v>78</v>
      </c>
      <c r="M79" s="1" t="s">
        <v>301</v>
      </c>
      <c r="N79" s="1">
        <v>2</v>
      </c>
      <c r="O79" s="54">
        <v>100.97999999999995</v>
      </c>
      <c r="P79" s="68" t="s">
        <v>696</v>
      </c>
    </row>
    <row r="80" spans="1:16" x14ac:dyDescent="0.2">
      <c r="A80" s="89">
        <v>79</v>
      </c>
      <c r="B80" s="1" t="s">
        <v>233</v>
      </c>
      <c r="C80" s="91">
        <v>2</v>
      </c>
      <c r="D80" s="90">
        <v>831.6</v>
      </c>
      <c r="E80" s="76"/>
      <c r="F80" s="70">
        <v>79</v>
      </c>
      <c r="G80" s="1" t="s">
        <v>211</v>
      </c>
      <c r="H80" s="1">
        <v>1</v>
      </c>
      <c r="I80" s="54">
        <v>2308.9</v>
      </c>
      <c r="J80" s="68" t="s">
        <v>701</v>
      </c>
      <c r="L80" s="68">
        <v>79</v>
      </c>
      <c r="M80" s="1" t="s">
        <v>275</v>
      </c>
      <c r="N80" s="1">
        <v>1</v>
      </c>
      <c r="O80" s="54">
        <v>219.8900000000001</v>
      </c>
      <c r="P80" s="68" t="s">
        <v>696</v>
      </c>
    </row>
    <row r="81" spans="1:16" x14ac:dyDescent="0.2">
      <c r="A81" s="89">
        <v>80</v>
      </c>
      <c r="B81" s="1" t="s">
        <v>307</v>
      </c>
      <c r="C81" s="91">
        <v>2</v>
      </c>
      <c r="D81" s="92">
        <v>767.8</v>
      </c>
      <c r="E81" s="76"/>
      <c r="F81" s="70">
        <v>80</v>
      </c>
      <c r="G81" t="s">
        <v>79</v>
      </c>
      <c r="H81">
        <v>3</v>
      </c>
      <c r="I81" s="54">
        <v>2013</v>
      </c>
      <c r="J81" s="68" t="s">
        <v>695</v>
      </c>
      <c r="L81" s="68">
        <v>80</v>
      </c>
      <c r="M81" s="1" t="s">
        <v>105</v>
      </c>
      <c r="N81" s="1">
        <v>1</v>
      </c>
      <c r="O81" s="54">
        <v>343.11199999999957</v>
      </c>
      <c r="P81" s="68" t="s">
        <v>696</v>
      </c>
    </row>
    <row r="82" spans="1:16" x14ac:dyDescent="0.2">
      <c r="A82" s="89">
        <v>81</v>
      </c>
      <c r="B82" s="1" t="s">
        <v>243</v>
      </c>
      <c r="C82" s="91">
        <v>3</v>
      </c>
      <c r="D82" s="90">
        <v>636.99900000000002</v>
      </c>
      <c r="E82" s="76"/>
      <c r="F82" s="70">
        <v>81</v>
      </c>
      <c r="G82" s="1" t="s">
        <v>261</v>
      </c>
      <c r="H82" s="1">
        <v>3</v>
      </c>
      <c r="I82" s="54">
        <v>5969.7000000000007</v>
      </c>
      <c r="J82" s="68" t="s">
        <v>695</v>
      </c>
      <c r="L82" s="68">
        <v>81</v>
      </c>
      <c r="M82" s="1" t="s">
        <v>211</v>
      </c>
      <c r="N82" s="1">
        <v>1</v>
      </c>
      <c r="O82" s="54">
        <v>230.8900000000001</v>
      </c>
      <c r="P82" s="68" t="s">
        <v>701</v>
      </c>
    </row>
    <row r="83" spans="1:16" x14ac:dyDescent="0.2">
      <c r="A83" s="89">
        <v>82</v>
      </c>
      <c r="B83" s="1" t="s">
        <v>331</v>
      </c>
      <c r="C83" s="91">
        <v>1</v>
      </c>
      <c r="D83" s="90">
        <v>515.9</v>
      </c>
      <c r="E83" s="76"/>
      <c r="F83" s="70">
        <v>82</v>
      </c>
      <c r="G83" s="1" t="s">
        <v>71</v>
      </c>
      <c r="H83" s="1">
        <v>1</v>
      </c>
      <c r="I83" s="54">
        <v>13750</v>
      </c>
      <c r="J83" s="68" t="s">
        <v>695</v>
      </c>
      <c r="L83" s="68">
        <v>82</v>
      </c>
      <c r="M83" t="s">
        <v>79</v>
      </c>
      <c r="N83">
        <v>3</v>
      </c>
      <c r="O83" s="54">
        <v>201.3</v>
      </c>
      <c r="P83" s="68" t="s">
        <v>695</v>
      </c>
    </row>
    <row r="84" spans="1:16" x14ac:dyDescent="0.2">
      <c r="A84" s="89">
        <v>83</v>
      </c>
      <c r="B84" s="1" t="s">
        <v>305</v>
      </c>
      <c r="C84" s="91">
        <v>1</v>
      </c>
      <c r="D84" s="90">
        <v>494.80199999999996</v>
      </c>
      <c r="E84" s="76"/>
      <c r="F84" s="70">
        <v>83</v>
      </c>
      <c r="G84" s="1" t="s">
        <v>79</v>
      </c>
      <c r="H84" s="1">
        <v>5</v>
      </c>
      <c r="I84" s="54">
        <v>3355</v>
      </c>
      <c r="J84" s="68" t="s">
        <v>695</v>
      </c>
      <c r="L84" s="68">
        <v>83</v>
      </c>
      <c r="M84" s="1" t="s">
        <v>261</v>
      </c>
      <c r="N84" s="1">
        <v>3</v>
      </c>
      <c r="O84" s="54">
        <v>596.97000000000037</v>
      </c>
      <c r="P84" s="68" t="s">
        <v>695</v>
      </c>
    </row>
    <row r="85" spans="1:16" x14ac:dyDescent="0.2">
      <c r="C85" s="70"/>
      <c r="E85" s="76"/>
      <c r="F85" s="70">
        <v>84</v>
      </c>
      <c r="G85" s="1" t="s">
        <v>155</v>
      </c>
      <c r="H85" s="1">
        <v>1</v>
      </c>
      <c r="I85" s="54">
        <v>3848.9</v>
      </c>
      <c r="J85" s="68" t="s">
        <v>695</v>
      </c>
      <c r="L85" s="68">
        <v>84</v>
      </c>
      <c r="M85" s="1" t="s">
        <v>71</v>
      </c>
      <c r="N85" s="1">
        <v>1</v>
      </c>
      <c r="O85" s="54">
        <v>1375</v>
      </c>
      <c r="P85" s="68" t="s">
        <v>695</v>
      </c>
    </row>
    <row r="86" spans="1:16" x14ac:dyDescent="0.2">
      <c r="C86" s="70"/>
      <c r="E86" s="76"/>
      <c r="F86" s="70">
        <v>85</v>
      </c>
      <c r="G86" s="1" t="s">
        <v>331</v>
      </c>
      <c r="H86" s="1">
        <v>1</v>
      </c>
      <c r="I86" s="54">
        <v>515.9</v>
      </c>
      <c r="J86" s="68" t="s">
        <v>695</v>
      </c>
      <c r="L86" s="68">
        <v>85</v>
      </c>
      <c r="M86" s="1" t="s">
        <v>79</v>
      </c>
      <c r="N86" s="1">
        <v>5</v>
      </c>
      <c r="O86" s="54">
        <v>335.5</v>
      </c>
      <c r="P86" s="68" t="s">
        <v>695</v>
      </c>
    </row>
    <row r="87" spans="1:16" x14ac:dyDescent="0.2">
      <c r="C87" s="70"/>
      <c r="E87" s="76"/>
      <c r="F87" s="70">
        <v>86</v>
      </c>
      <c r="G87" s="1" t="s">
        <v>79</v>
      </c>
      <c r="H87" s="1">
        <v>2</v>
      </c>
      <c r="I87" s="54">
        <v>1342</v>
      </c>
      <c r="J87" s="68" t="s">
        <v>695</v>
      </c>
      <c r="L87" s="68">
        <v>86</v>
      </c>
      <c r="M87" s="1" t="s">
        <v>155</v>
      </c>
      <c r="N87" s="1">
        <v>1</v>
      </c>
      <c r="O87" s="54">
        <v>384.8900000000001</v>
      </c>
      <c r="P87" s="68" t="s">
        <v>695</v>
      </c>
    </row>
    <row r="88" spans="1:16" x14ac:dyDescent="0.2">
      <c r="C88" s="70"/>
      <c r="E88" s="77"/>
      <c r="F88" s="70">
        <v>87</v>
      </c>
      <c r="G88" s="1" t="s">
        <v>85</v>
      </c>
      <c r="H88" s="1">
        <v>2</v>
      </c>
      <c r="I88" s="54">
        <v>1331</v>
      </c>
      <c r="J88" s="68" t="s">
        <v>695</v>
      </c>
      <c r="L88" s="68">
        <v>87</v>
      </c>
      <c r="M88" s="1" t="s">
        <v>331</v>
      </c>
      <c r="N88" s="1">
        <v>1</v>
      </c>
      <c r="O88" s="54">
        <v>51.589999999999975</v>
      </c>
      <c r="P88" s="68" t="s">
        <v>695</v>
      </c>
    </row>
    <row r="89" spans="1:16" x14ac:dyDescent="0.2">
      <c r="C89" s="70"/>
      <c r="E89" s="76"/>
      <c r="F89" s="70">
        <v>88</v>
      </c>
      <c r="G89" s="1" t="s">
        <v>149</v>
      </c>
      <c r="H89" s="1">
        <v>1</v>
      </c>
      <c r="I89" s="54">
        <v>1648.9</v>
      </c>
      <c r="J89" s="68" t="s">
        <v>695</v>
      </c>
      <c r="L89" s="68">
        <v>88</v>
      </c>
      <c r="M89" s="1" t="s">
        <v>79</v>
      </c>
      <c r="N89" s="1">
        <v>2</v>
      </c>
      <c r="O89" s="54">
        <v>134.19999999999999</v>
      </c>
      <c r="P89" s="68" t="s">
        <v>695</v>
      </c>
    </row>
    <row r="90" spans="1:16" x14ac:dyDescent="0.2">
      <c r="C90" s="70"/>
      <c r="E90" s="76"/>
      <c r="F90" s="70">
        <v>89</v>
      </c>
      <c r="G90" s="1" t="s">
        <v>79</v>
      </c>
      <c r="H90" s="1">
        <v>3</v>
      </c>
      <c r="I90" s="54">
        <v>2013</v>
      </c>
      <c r="J90" s="68" t="s">
        <v>695</v>
      </c>
      <c r="L90" s="68">
        <v>89</v>
      </c>
      <c r="M90" s="1" t="s">
        <v>85</v>
      </c>
      <c r="N90" s="1">
        <v>2</v>
      </c>
      <c r="O90" s="54">
        <v>133.1</v>
      </c>
      <c r="P90" s="68" t="s">
        <v>695</v>
      </c>
    </row>
    <row r="91" spans="1:16" x14ac:dyDescent="0.2">
      <c r="C91" s="70"/>
      <c r="E91" s="76"/>
      <c r="F91" s="70">
        <v>90</v>
      </c>
      <c r="G91" s="1" t="s">
        <v>279</v>
      </c>
      <c r="H91" s="1">
        <v>4</v>
      </c>
      <c r="I91" s="54">
        <v>3515.6</v>
      </c>
      <c r="J91" s="68" t="s">
        <v>699</v>
      </c>
      <c r="L91" s="68">
        <v>90</v>
      </c>
      <c r="M91" s="1" t="s">
        <v>149</v>
      </c>
      <c r="N91" s="1">
        <v>1</v>
      </c>
      <c r="O91" s="54">
        <v>164.8900000000001</v>
      </c>
      <c r="P91" s="68" t="s">
        <v>695</v>
      </c>
    </row>
    <row r="92" spans="1:16" x14ac:dyDescent="0.2">
      <c r="C92" s="70"/>
      <c r="E92" s="76"/>
      <c r="F92" s="70">
        <v>91</v>
      </c>
      <c r="G92" s="1" t="s">
        <v>63</v>
      </c>
      <c r="H92" s="1">
        <v>1</v>
      </c>
      <c r="I92" s="54">
        <v>8798.9</v>
      </c>
      <c r="J92" s="68" t="s">
        <v>699</v>
      </c>
      <c r="L92" s="68">
        <v>91</v>
      </c>
      <c r="M92" s="1" t="s">
        <v>79</v>
      </c>
      <c r="N92" s="1">
        <v>3</v>
      </c>
      <c r="O92" s="54">
        <v>201.3</v>
      </c>
      <c r="P92" s="68" t="s">
        <v>695</v>
      </c>
    </row>
    <row r="93" spans="1:16" x14ac:dyDescent="0.2">
      <c r="C93" s="70"/>
      <c r="E93" s="76"/>
      <c r="F93" s="70">
        <v>92</v>
      </c>
      <c r="G93" s="1" t="s">
        <v>199</v>
      </c>
      <c r="H93" s="1">
        <v>1</v>
      </c>
      <c r="I93" s="54">
        <v>3495.8</v>
      </c>
      <c r="J93" s="68" t="s">
        <v>699</v>
      </c>
      <c r="L93" s="68">
        <v>92</v>
      </c>
      <c r="M93" s="1" t="s">
        <v>279</v>
      </c>
      <c r="N93" s="1">
        <v>4</v>
      </c>
      <c r="O93" s="54">
        <v>351.55999999999989</v>
      </c>
      <c r="P93" s="68" t="s">
        <v>699</v>
      </c>
    </row>
    <row r="94" spans="1:16" x14ac:dyDescent="0.2">
      <c r="C94" s="70"/>
      <c r="E94" s="76"/>
      <c r="F94" s="70">
        <v>93</v>
      </c>
      <c r="G94" s="1" t="s">
        <v>41</v>
      </c>
      <c r="H94" s="1">
        <v>1</v>
      </c>
      <c r="I94" s="54">
        <v>15090.921999999999</v>
      </c>
      <c r="J94" s="68" t="s">
        <v>699</v>
      </c>
      <c r="L94" s="68">
        <v>93</v>
      </c>
      <c r="M94" s="1" t="s">
        <v>63</v>
      </c>
      <c r="N94" s="1">
        <v>1</v>
      </c>
      <c r="O94" s="54">
        <v>879.88999999999953</v>
      </c>
      <c r="P94" s="68" t="s">
        <v>699</v>
      </c>
    </row>
    <row r="95" spans="1:16" x14ac:dyDescent="0.2">
      <c r="C95" s="70"/>
      <c r="E95" s="76"/>
      <c r="F95" s="70">
        <v>94</v>
      </c>
      <c r="G95" s="1" t="s">
        <v>291</v>
      </c>
      <c r="H95" s="1">
        <v>1</v>
      </c>
      <c r="I95" s="54">
        <v>1098.9000000000001</v>
      </c>
      <c r="J95" s="68" t="s">
        <v>699</v>
      </c>
      <c r="L95" s="68">
        <v>94</v>
      </c>
      <c r="M95" s="1" t="s">
        <v>199</v>
      </c>
      <c r="N95" s="1">
        <v>1</v>
      </c>
      <c r="O95" s="54">
        <v>349.58000000000021</v>
      </c>
      <c r="P95" s="68" t="s">
        <v>699</v>
      </c>
    </row>
    <row r="96" spans="1:16" x14ac:dyDescent="0.2">
      <c r="C96" s="70"/>
      <c r="E96" s="76"/>
      <c r="F96" s="70">
        <v>95</v>
      </c>
      <c r="G96" s="1" t="s">
        <v>183</v>
      </c>
      <c r="H96" s="1">
        <v>1</v>
      </c>
      <c r="I96" s="54">
        <v>2440.9</v>
      </c>
      <c r="J96" s="68" t="s">
        <v>699</v>
      </c>
      <c r="L96" s="68">
        <v>95</v>
      </c>
      <c r="M96" s="1" t="s">
        <v>41</v>
      </c>
      <c r="N96" s="1">
        <v>1</v>
      </c>
      <c r="O96" s="54">
        <v>1231.9119999999996</v>
      </c>
      <c r="P96" s="68" t="s">
        <v>699</v>
      </c>
    </row>
    <row r="97" spans="2:16" x14ac:dyDescent="0.2">
      <c r="C97" s="70"/>
      <c r="E97" s="76"/>
      <c r="F97" s="70">
        <v>96</v>
      </c>
      <c r="G97" s="1" t="s">
        <v>33</v>
      </c>
      <c r="H97" s="1">
        <v>3</v>
      </c>
      <c r="I97" s="54">
        <v>2095.5996599999999</v>
      </c>
      <c r="J97" s="68" t="s">
        <v>699</v>
      </c>
      <c r="L97" s="68">
        <v>96</v>
      </c>
      <c r="M97" s="1" t="s">
        <v>291</v>
      </c>
      <c r="N97" s="1">
        <v>1</v>
      </c>
      <c r="O97" s="54">
        <v>109.89000000000011</v>
      </c>
      <c r="P97" s="68" t="s">
        <v>699</v>
      </c>
    </row>
    <row r="98" spans="2:16" x14ac:dyDescent="0.2">
      <c r="C98" s="70"/>
      <c r="E98" s="76"/>
      <c r="F98" s="70">
        <v>97</v>
      </c>
      <c r="G98" s="1" t="s">
        <v>165</v>
      </c>
      <c r="H98" s="1">
        <v>2</v>
      </c>
      <c r="I98" s="54">
        <v>3517.8</v>
      </c>
      <c r="J98" s="68" t="s">
        <v>699</v>
      </c>
      <c r="L98" s="68">
        <v>97</v>
      </c>
      <c r="M98" s="1" t="s">
        <v>183</v>
      </c>
      <c r="N98" s="1">
        <v>1</v>
      </c>
      <c r="O98" s="54">
        <v>244.09000000000012</v>
      </c>
      <c r="P98" s="68" t="s">
        <v>699</v>
      </c>
    </row>
    <row r="99" spans="2:16" x14ac:dyDescent="0.2">
      <c r="C99" s="70"/>
      <c r="E99" s="76"/>
      <c r="F99" s="70">
        <v>98</v>
      </c>
      <c r="G99" s="1" t="s">
        <v>165</v>
      </c>
      <c r="H99" s="1">
        <v>3</v>
      </c>
      <c r="I99" s="54">
        <v>5276.7000000000007</v>
      </c>
      <c r="J99" s="68" t="s">
        <v>699</v>
      </c>
      <c r="L99" s="68">
        <v>98</v>
      </c>
      <c r="M99" s="1" t="s">
        <v>33</v>
      </c>
      <c r="N99" s="1">
        <v>3</v>
      </c>
      <c r="O99" s="54">
        <v>171.06935999999993</v>
      </c>
      <c r="P99" s="68" t="s">
        <v>699</v>
      </c>
    </row>
    <row r="100" spans="2:16" x14ac:dyDescent="0.2">
      <c r="C100" s="70"/>
      <c r="E100" s="76"/>
      <c r="F100" s="70">
        <v>99</v>
      </c>
      <c r="G100" s="1" t="s">
        <v>153</v>
      </c>
      <c r="H100" s="1">
        <v>2</v>
      </c>
      <c r="I100" s="54">
        <v>3625.6660000000002</v>
      </c>
      <c r="J100" s="68" t="s">
        <v>699</v>
      </c>
      <c r="L100" s="68">
        <v>99</v>
      </c>
      <c r="M100" s="1" t="s">
        <v>165</v>
      </c>
      <c r="N100" s="1">
        <v>2</v>
      </c>
      <c r="O100" s="54">
        <v>351.7800000000002</v>
      </c>
      <c r="P100" s="68" t="s">
        <v>699</v>
      </c>
    </row>
    <row r="101" spans="2:16" x14ac:dyDescent="0.2">
      <c r="C101" s="70"/>
      <c r="E101" s="76"/>
      <c r="F101" s="70">
        <v>100</v>
      </c>
      <c r="G101" s="1" t="s">
        <v>33</v>
      </c>
      <c r="H101" s="1">
        <v>1</v>
      </c>
      <c r="I101" s="54">
        <v>712.78899999999999</v>
      </c>
      <c r="J101" s="68" t="s">
        <v>699</v>
      </c>
      <c r="L101" s="68">
        <v>100</v>
      </c>
      <c r="M101" s="1" t="s">
        <v>165</v>
      </c>
      <c r="N101" s="1">
        <v>3</v>
      </c>
      <c r="O101" s="54">
        <v>527.6700000000003</v>
      </c>
      <c r="P101" s="68" t="s">
        <v>699</v>
      </c>
    </row>
    <row r="102" spans="2:16" x14ac:dyDescent="0.2">
      <c r="E102" s="68"/>
      <c r="F102" s="70">
        <v>101</v>
      </c>
      <c r="G102" s="1" t="s">
        <v>153</v>
      </c>
      <c r="H102" s="1">
        <v>2</v>
      </c>
      <c r="I102" s="54">
        <v>3625.6660000000002</v>
      </c>
      <c r="J102" s="68" t="s">
        <v>699</v>
      </c>
      <c r="L102" s="68">
        <v>101</v>
      </c>
      <c r="M102" s="1" t="s">
        <v>153</v>
      </c>
      <c r="N102" s="1">
        <v>2</v>
      </c>
      <c r="O102" s="54">
        <v>261.64600000000024</v>
      </c>
      <c r="P102" s="68" t="s">
        <v>699</v>
      </c>
    </row>
    <row r="103" spans="2:16" x14ac:dyDescent="0.2">
      <c r="B103" s="1"/>
      <c r="F103" s="70">
        <v>102</v>
      </c>
      <c r="G103" s="1" t="s">
        <v>153</v>
      </c>
      <c r="H103" s="1">
        <v>2</v>
      </c>
      <c r="I103" s="54">
        <v>3625.6660000000002</v>
      </c>
      <c r="J103" s="68" t="s">
        <v>699</v>
      </c>
      <c r="L103" s="68">
        <v>102</v>
      </c>
      <c r="M103" s="1" t="s">
        <v>153</v>
      </c>
      <c r="N103" s="1">
        <v>2</v>
      </c>
      <c r="O103" s="54">
        <v>261.64600000000024</v>
      </c>
      <c r="P103" s="68" t="s">
        <v>699</v>
      </c>
    </row>
  </sheetData>
  <sortState xmlns:xlrd2="http://schemas.microsoft.com/office/spreadsheetml/2017/richdata2" ref="F2:J119">
    <sortCondition ref="J1:J119" customList="January,February,March,April,May,June,July,August,September,October,November,December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itemSales">
                <anchor moveWithCells="1" sizeWithCells="1">
                  <from>
                    <xdr:col>0</xdr:col>
                    <xdr:colOff>431800</xdr:colOff>
                    <xdr:row>87</xdr:row>
                    <xdr:rowOff>38100</xdr:rowOff>
                  </from>
                  <to>
                    <xdr:col>1</xdr:col>
                    <xdr:colOff>1143000</xdr:colOff>
                    <xdr:row>89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monthSales">
                <anchor moveWithCells="1" sizeWithCells="1">
                  <from>
                    <xdr:col>1</xdr:col>
                    <xdr:colOff>1270000</xdr:colOff>
                    <xdr:row>87</xdr:row>
                    <xdr:rowOff>25400</xdr:rowOff>
                  </from>
                  <to>
                    <xdr:col>1</xdr:col>
                    <xdr:colOff>2590800</xdr:colOff>
                    <xdr:row>89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monthProfits">
                <anchor moveWithCells="1" sizeWithCells="1">
                  <from>
                    <xdr:col>1</xdr:col>
                    <xdr:colOff>2705100</xdr:colOff>
                    <xdr:row>87</xdr:row>
                    <xdr:rowOff>25400</xdr:rowOff>
                  </from>
                  <to>
                    <xdr:col>1</xdr:col>
                    <xdr:colOff>4025900</xdr:colOff>
                    <xdr:row>89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E01E5-1E65-4951-9B5F-F98316C95B2B}">
  <sheetPr codeName="Sheet7"/>
  <dimension ref="A3:P140"/>
  <sheetViews>
    <sheetView tabSelected="1" topLeftCell="B1" zoomScale="70" zoomScaleNormal="70" workbookViewId="0">
      <selection activeCell="J11" sqref="J11"/>
    </sheetView>
  </sheetViews>
  <sheetFormatPr baseColWidth="10" defaultColWidth="8.83203125" defaultRowHeight="15" x14ac:dyDescent="0.2"/>
  <cols>
    <col min="1" max="1" width="12.5" bestFit="1" customWidth="1"/>
    <col min="2" max="2" width="59.33203125" bestFit="1" customWidth="1"/>
    <col min="3" max="3" width="11.83203125" bestFit="1" customWidth="1"/>
    <col min="4" max="4" width="18.6640625" bestFit="1" customWidth="1"/>
    <col min="5" max="5" width="21.1640625" bestFit="1" customWidth="1"/>
    <col min="7" max="7" width="12.5" bestFit="1" customWidth="1"/>
    <col min="8" max="8" width="59.33203125" bestFit="1" customWidth="1"/>
    <col min="9" max="9" width="11.83203125" bestFit="1" customWidth="1"/>
    <col min="10" max="10" width="18.6640625" bestFit="1" customWidth="1"/>
    <col min="11" max="11" width="21.6640625" bestFit="1" customWidth="1"/>
    <col min="14" max="14" width="21" customWidth="1"/>
    <col min="15" max="15" width="58.83203125" bestFit="1" customWidth="1"/>
    <col min="16" max="16" width="5.1640625" bestFit="1" customWidth="1"/>
  </cols>
  <sheetData>
    <row r="3" spans="1:16" x14ac:dyDescent="0.2">
      <c r="C3" s="83" t="s">
        <v>706</v>
      </c>
      <c r="E3" s="117" t="s">
        <v>720</v>
      </c>
      <c r="I3" s="83" t="s">
        <v>706</v>
      </c>
      <c r="K3" s="117" t="s">
        <v>722</v>
      </c>
      <c r="O3" s="83" t="s">
        <v>707</v>
      </c>
    </row>
    <row r="4" spans="1:16" x14ac:dyDescent="0.2">
      <c r="A4" s="83" t="s">
        <v>688</v>
      </c>
      <c r="B4" s="83" t="s">
        <v>689</v>
      </c>
      <c r="C4" t="s">
        <v>705</v>
      </c>
      <c r="D4" t="s">
        <v>707</v>
      </c>
      <c r="E4" s="117"/>
      <c r="G4" s="83" t="s">
        <v>688</v>
      </c>
      <c r="H4" s="83" t="s">
        <v>689</v>
      </c>
      <c r="I4" t="s">
        <v>721</v>
      </c>
      <c r="J4" t="s">
        <v>707</v>
      </c>
      <c r="K4" s="117"/>
      <c r="O4" s="83" t="s">
        <v>689</v>
      </c>
      <c r="P4" t="s">
        <v>724</v>
      </c>
    </row>
    <row r="5" spans="1:16" x14ac:dyDescent="0.2">
      <c r="A5" t="s">
        <v>693</v>
      </c>
      <c r="B5" t="s">
        <v>25</v>
      </c>
      <c r="C5">
        <v>7388.04</v>
      </c>
      <c r="D5">
        <v>7</v>
      </c>
      <c r="E5" s="84">
        <f>RANK(C5,$C$5:$C$12,0)</f>
        <v>1</v>
      </c>
      <c r="G5" t="s">
        <v>693</v>
      </c>
      <c r="H5" t="s">
        <v>297</v>
      </c>
      <c r="I5">
        <v>723.25</v>
      </c>
      <c r="J5">
        <v>5</v>
      </c>
      <c r="K5">
        <f>RANK(I5,$I$5:$I$12,0)</f>
        <v>1</v>
      </c>
      <c r="O5" t="s">
        <v>121</v>
      </c>
      <c r="P5">
        <v>1</v>
      </c>
    </row>
    <row r="6" spans="1:16" x14ac:dyDescent="0.2">
      <c r="B6" t="s">
        <v>297</v>
      </c>
      <c r="C6">
        <v>7232.5</v>
      </c>
      <c r="D6">
        <v>5</v>
      </c>
      <c r="E6" s="84">
        <f t="shared" ref="E6:E9" si="0">RANK(C6,C6:C13,0)</f>
        <v>2</v>
      </c>
      <c r="H6" t="s">
        <v>25</v>
      </c>
      <c r="I6">
        <v>700.59</v>
      </c>
      <c r="J6">
        <v>7</v>
      </c>
      <c r="K6">
        <f t="shared" ref="K6:K12" si="1">RANK(I6,$I$5:$I$12,0)</f>
        <v>2</v>
      </c>
      <c r="O6" t="s">
        <v>117</v>
      </c>
      <c r="P6">
        <v>2</v>
      </c>
    </row>
    <row r="7" spans="1:16" x14ac:dyDescent="0.2">
      <c r="B7" t="s">
        <v>207</v>
      </c>
      <c r="C7">
        <v>3859.9</v>
      </c>
      <c r="D7">
        <v>1</v>
      </c>
      <c r="E7" s="84">
        <f t="shared" si="0"/>
        <v>3</v>
      </c>
      <c r="H7" t="s">
        <v>207</v>
      </c>
      <c r="I7">
        <v>385.99000000000012</v>
      </c>
      <c r="J7">
        <v>1</v>
      </c>
      <c r="K7">
        <f t="shared" si="1"/>
        <v>3</v>
      </c>
      <c r="O7" t="s">
        <v>113</v>
      </c>
      <c r="P7">
        <v>1</v>
      </c>
    </row>
    <row r="8" spans="1:16" x14ac:dyDescent="0.2">
      <c r="B8" t="s">
        <v>163</v>
      </c>
      <c r="C8">
        <v>3843.4</v>
      </c>
      <c r="D8">
        <v>2</v>
      </c>
      <c r="E8" s="84">
        <f t="shared" si="0"/>
        <v>4</v>
      </c>
      <c r="H8" t="s">
        <v>163</v>
      </c>
      <c r="I8">
        <v>384.34000000000009</v>
      </c>
      <c r="J8">
        <v>2</v>
      </c>
      <c r="K8">
        <f t="shared" si="1"/>
        <v>4</v>
      </c>
      <c r="O8" t="s">
        <v>115</v>
      </c>
      <c r="P8">
        <v>1</v>
      </c>
    </row>
    <row r="9" spans="1:16" x14ac:dyDescent="0.2">
      <c r="B9" t="s">
        <v>203</v>
      </c>
      <c r="C9">
        <v>3429.8</v>
      </c>
      <c r="D9">
        <v>2</v>
      </c>
      <c r="E9" s="84">
        <f t="shared" si="0"/>
        <v>5</v>
      </c>
      <c r="H9" t="s">
        <v>203</v>
      </c>
      <c r="I9">
        <v>342.98000000000025</v>
      </c>
      <c r="J9">
        <v>2</v>
      </c>
      <c r="K9">
        <f t="shared" si="1"/>
        <v>5</v>
      </c>
      <c r="O9" t="s">
        <v>253</v>
      </c>
      <c r="P9">
        <v>5</v>
      </c>
    </row>
    <row r="10" spans="1:16" x14ac:dyDescent="0.2">
      <c r="B10" t="s">
        <v>57</v>
      </c>
      <c r="C10">
        <v>2748.9</v>
      </c>
      <c r="D10">
        <v>1</v>
      </c>
      <c r="E10" s="84">
        <f t="shared" ref="E10:E12" si="2">RANK(C10,C10:C17,0)</f>
        <v>6</v>
      </c>
      <c r="H10" t="s">
        <v>57</v>
      </c>
      <c r="I10">
        <v>274.8900000000001</v>
      </c>
      <c r="J10">
        <v>1</v>
      </c>
      <c r="K10">
        <f t="shared" si="1"/>
        <v>6</v>
      </c>
      <c r="O10" t="s">
        <v>243</v>
      </c>
      <c r="P10">
        <v>3</v>
      </c>
    </row>
    <row r="11" spans="1:16" x14ac:dyDescent="0.2">
      <c r="B11" t="s">
        <v>233</v>
      </c>
      <c r="C11">
        <v>831.6</v>
      </c>
      <c r="D11">
        <v>2</v>
      </c>
      <c r="E11" s="84">
        <f t="shared" si="2"/>
        <v>7</v>
      </c>
      <c r="H11" t="s">
        <v>233</v>
      </c>
      <c r="I11">
        <v>83.160000000000025</v>
      </c>
      <c r="J11">
        <v>2</v>
      </c>
      <c r="K11">
        <f t="shared" si="1"/>
        <v>7</v>
      </c>
      <c r="O11" t="s">
        <v>97</v>
      </c>
      <c r="P11">
        <v>2</v>
      </c>
    </row>
    <row r="12" spans="1:16" x14ac:dyDescent="0.2">
      <c r="B12" t="s">
        <v>305</v>
      </c>
      <c r="C12">
        <v>494.80199999999996</v>
      </c>
      <c r="D12">
        <v>1</v>
      </c>
      <c r="E12" s="84">
        <f t="shared" si="2"/>
        <v>8</v>
      </c>
      <c r="H12" t="s">
        <v>305</v>
      </c>
      <c r="I12">
        <v>40.391999999999975</v>
      </c>
      <c r="J12">
        <v>1</v>
      </c>
      <c r="K12">
        <f t="shared" si="1"/>
        <v>8</v>
      </c>
      <c r="O12" t="s">
        <v>99</v>
      </c>
      <c r="P12">
        <v>2</v>
      </c>
    </row>
    <row r="13" spans="1:16" x14ac:dyDescent="0.2">
      <c r="A13" t="s">
        <v>708</v>
      </c>
      <c r="C13">
        <v>29828.942000000003</v>
      </c>
      <c r="D13">
        <v>21</v>
      </c>
      <c r="E13" s="72"/>
      <c r="G13" t="s">
        <v>708</v>
      </c>
      <c r="I13">
        <v>2935.5920000000006</v>
      </c>
      <c r="J13">
        <v>21</v>
      </c>
      <c r="O13" t="s">
        <v>95</v>
      </c>
      <c r="P13">
        <v>2</v>
      </c>
    </row>
    <row r="14" spans="1:16" x14ac:dyDescent="0.2">
      <c r="A14" t="s">
        <v>692</v>
      </c>
      <c r="B14" t="s">
        <v>87</v>
      </c>
      <c r="C14">
        <v>11712.8</v>
      </c>
      <c r="D14">
        <v>1</v>
      </c>
      <c r="E14" s="84">
        <f>RANK(C14,$C$14:$C$22,0)</f>
        <v>1</v>
      </c>
      <c r="G14" t="s">
        <v>692</v>
      </c>
      <c r="H14" t="s">
        <v>87</v>
      </c>
      <c r="I14">
        <v>1171.2799999999991</v>
      </c>
      <c r="J14">
        <v>1</v>
      </c>
      <c r="K14">
        <f>RANK(I14,$I$14:$I$22,0)</f>
        <v>1</v>
      </c>
      <c r="O14" t="s">
        <v>101</v>
      </c>
      <c r="P14">
        <v>1</v>
      </c>
    </row>
    <row r="15" spans="1:16" x14ac:dyDescent="0.2">
      <c r="B15" t="s">
        <v>53</v>
      </c>
      <c r="C15">
        <v>10014.444</v>
      </c>
      <c r="D15">
        <v>4</v>
      </c>
      <c r="E15" s="84">
        <f t="shared" ref="E15:E22" si="3">RANK(C15,$C$14:$C$22,0)</f>
        <v>2</v>
      </c>
      <c r="H15" t="s">
        <v>53</v>
      </c>
      <c r="I15">
        <v>910.40400000000045</v>
      </c>
      <c r="J15">
        <v>4</v>
      </c>
      <c r="K15">
        <f t="shared" ref="K15:K22" si="4">RANK(I15,$I$14:$I$22,0)</f>
        <v>2</v>
      </c>
      <c r="O15" t="s">
        <v>301</v>
      </c>
      <c r="P15">
        <v>2</v>
      </c>
    </row>
    <row r="16" spans="1:16" x14ac:dyDescent="0.2">
      <c r="B16" t="s">
        <v>571</v>
      </c>
      <c r="C16">
        <v>4861.78</v>
      </c>
      <c r="D16">
        <v>2</v>
      </c>
      <c r="E16" s="84">
        <f t="shared" si="3"/>
        <v>3</v>
      </c>
      <c r="H16" t="s">
        <v>281</v>
      </c>
      <c r="I16">
        <v>474.10000000000025</v>
      </c>
      <c r="J16">
        <v>5</v>
      </c>
      <c r="K16">
        <f t="shared" si="4"/>
        <v>3</v>
      </c>
      <c r="O16" t="s">
        <v>173</v>
      </c>
      <c r="P16">
        <v>3</v>
      </c>
    </row>
    <row r="17" spans="1:16" x14ac:dyDescent="0.2">
      <c r="B17" t="s">
        <v>281</v>
      </c>
      <c r="C17">
        <v>4741</v>
      </c>
      <c r="D17">
        <v>5</v>
      </c>
      <c r="E17" s="84">
        <f t="shared" si="3"/>
        <v>4</v>
      </c>
      <c r="H17" t="s">
        <v>571</v>
      </c>
      <c r="I17">
        <v>396.88</v>
      </c>
      <c r="J17">
        <v>2</v>
      </c>
      <c r="K17">
        <f t="shared" si="4"/>
        <v>4</v>
      </c>
      <c r="O17" t="s">
        <v>305</v>
      </c>
      <c r="P17">
        <v>1</v>
      </c>
    </row>
    <row r="18" spans="1:16" x14ac:dyDescent="0.2">
      <c r="B18" t="s">
        <v>185</v>
      </c>
      <c r="C18">
        <v>3209.8</v>
      </c>
      <c r="D18">
        <v>2</v>
      </c>
      <c r="E18" s="84">
        <f t="shared" si="3"/>
        <v>5</v>
      </c>
      <c r="H18" t="s">
        <v>185</v>
      </c>
      <c r="I18">
        <v>320.98000000000025</v>
      </c>
      <c r="J18">
        <v>2</v>
      </c>
      <c r="K18">
        <f t="shared" si="4"/>
        <v>5</v>
      </c>
      <c r="O18" t="s">
        <v>275</v>
      </c>
      <c r="P18">
        <v>1</v>
      </c>
    </row>
    <row r="19" spans="1:16" x14ac:dyDescent="0.2">
      <c r="B19" t="s">
        <v>51</v>
      </c>
      <c r="C19">
        <v>2909.7089999999998</v>
      </c>
      <c r="D19">
        <v>3</v>
      </c>
      <c r="E19" s="84">
        <f t="shared" si="3"/>
        <v>6</v>
      </c>
      <c r="H19" t="s">
        <v>161</v>
      </c>
      <c r="I19">
        <v>272.4699999999998</v>
      </c>
      <c r="J19">
        <v>1</v>
      </c>
      <c r="K19">
        <f t="shared" si="4"/>
        <v>6</v>
      </c>
      <c r="O19" t="s">
        <v>307</v>
      </c>
      <c r="P19">
        <v>2</v>
      </c>
    </row>
    <row r="20" spans="1:16" x14ac:dyDescent="0.2">
      <c r="B20" t="s">
        <v>161</v>
      </c>
      <c r="C20">
        <v>2724.7</v>
      </c>
      <c r="D20">
        <v>1</v>
      </c>
      <c r="E20" s="84">
        <f t="shared" si="3"/>
        <v>7</v>
      </c>
      <c r="H20" t="s">
        <v>51</v>
      </c>
      <c r="I20">
        <v>209.97899999999993</v>
      </c>
      <c r="J20">
        <v>3</v>
      </c>
      <c r="K20">
        <f t="shared" si="4"/>
        <v>7</v>
      </c>
      <c r="O20" t="s">
        <v>187</v>
      </c>
      <c r="P20">
        <v>1</v>
      </c>
    </row>
    <row r="21" spans="1:16" x14ac:dyDescent="0.2">
      <c r="B21" t="s">
        <v>289</v>
      </c>
      <c r="C21">
        <v>1954.414</v>
      </c>
      <c r="D21">
        <v>7</v>
      </c>
      <c r="E21" s="84">
        <f t="shared" si="3"/>
        <v>8</v>
      </c>
      <c r="H21" t="s">
        <v>289</v>
      </c>
      <c r="I21">
        <v>159.54399999999981</v>
      </c>
      <c r="J21">
        <v>7</v>
      </c>
      <c r="K21">
        <f t="shared" si="4"/>
        <v>8</v>
      </c>
      <c r="O21" t="s">
        <v>185</v>
      </c>
      <c r="P21">
        <v>2</v>
      </c>
    </row>
    <row r="22" spans="1:16" x14ac:dyDescent="0.2">
      <c r="B22" t="s">
        <v>241</v>
      </c>
      <c r="C22">
        <v>1057.518</v>
      </c>
      <c r="D22">
        <v>9</v>
      </c>
      <c r="E22" s="84">
        <f t="shared" si="3"/>
        <v>9</v>
      </c>
      <c r="H22" t="s">
        <v>241</v>
      </c>
      <c r="I22">
        <v>86.32800000000006</v>
      </c>
      <c r="J22">
        <v>9</v>
      </c>
      <c r="K22">
        <f t="shared" si="4"/>
        <v>9</v>
      </c>
      <c r="O22" t="s">
        <v>79</v>
      </c>
      <c r="P22">
        <v>13</v>
      </c>
    </row>
    <row r="23" spans="1:16" x14ac:dyDescent="0.2">
      <c r="A23" t="s">
        <v>709</v>
      </c>
      <c r="C23">
        <v>43186.164999999994</v>
      </c>
      <c r="D23">
        <v>34</v>
      </c>
      <c r="E23" s="72"/>
      <c r="G23" t="s">
        <v>709</v>
      </c>
      <c r="I23">
        <v>4001.9649999999997</v>
      </c>
      <c r="J23">
        <v>34</v>
      </c>
      <c r="O23" t="s">
        <v>163</v>
      </c>
      <c r="P23">
        <v>2</v>
      </c>
    </row>
    <row r="24" spans="1:16" x14ac:dyDescent="0.2">
      <c r="A24" t="s">
        <v>694</v>
      </c>
      <c r="B24" t="s">
        <v>99</v>
      </c>
      <c r="C24">
        <v>6597.8</v>
      </c>
      <c r="D24">
        <v>2</v>
      </c>
      <c r="E24" s="84">
        <f>RANK(C24,$C$24:$C$28,0)</f>
        <v>1</v>
      </c>
      <c r="G24" t="s">
        <v>694</v>
      </c>
      <c r="H24" t="s">
        <v>99</v>
      </c>
      <c r="I24">
        <v>659.7800000000002</v>
      </c>
      <c r="J24">
        <v>2</v>
      </c>
      <c r="K24">
        <f>RANK(I24,$I$24:$I$28,0)</f>
        <v>1</v>
      </c>
      <c r="O24" t="s">
        <v>183</v>
      </c>
      <c r="P24">
        <v>1</v>
      </c>
    </row>
    <row r="25" spans="1:16" x14ac:dyDescent="0.2">
      <c r="B25" t="s">
        <v>31</v>
      </c>
      <c r="C25">
        <v>5819.0439999999999</v>
      </c>
      <c r="D25">
        <v>2</v>
      </c>
      <c r="E25" s="84">
        <f t="shared" ref="E25:E28" si="5">RANK(C25,$C$24:$C$28,0)</f>
        <v>2</v>
      </c>
      <c r="H25" t="s">
        <v>193</v>
      </c>
      <c r="I25">
        <v>497.2</v>
      </c>
      <c r="J25">
        <v>1</v>
      </c>
      <c r="K25">
        <f t="shared" ref="K25:K28" si="6">RANK(I25,$I$24:$I$28,0)</f>
        <v>2</v>
      </c>
      <c r="O25" t="s">
        <v>91</v>
      </c>
      <c r="P25">
        <v>2</v>
      </c>
    </row>
    <row r="26" spans="1:16" x14ac:dyDescent="0.2">
      <c r="B26" t="s">
        <v>193</v>
      </c>
      <c r="C26">
        <v>4972</v>
      </c>
      <c r="D26">
        <v>1</v>
      </c>
      <c r="E26" s="84">
        <f t="shared" si="5"/>
        <v>3</v>
      </c>
      <c r="H26" t="s">
        <v>31</v>
      </c>
      <c r="I26">
        <v>475.02400000000023</v>
      </c>
      <c r="J26">
        <v>2</v>
      </c>
      <c r="K26">
        <f t="shared" si="6"/>
        <v>3</v>
      </c>
      <c r="O26" t="s">
        <v>165</v>
      </c>
      <c r="P26">
        <v>5</v>
      </c>
    </row>
    <row r="27" spans="1:16" x14ac:dyDescent="0.2">
      <c r="B27" t="s">
        <v>131</v>
      </c>
      <c r="C27">
        <v>3265.9</v>
      </c>
      <c r="D27">
        <v>1</v>
      </c>
      <c r="E27" s="84">
        <f t="shared" si="5"/>
        <v>4</v>
      </c>
      <c r="H27" t="s">
        <v>131</v>
      </c>
      <c r="I27">
        <v>326.59000000000009</v>
      </c>
      <c r="J27">
        <v>1</v>
      </c>
      <c r="K27">
        <f t="shared" si="6"/>
        <v>4</v>
      </c>
      <c r="O27" t="s">
        <v>85</v>
      </c>
      <c r="P27">
        <v>2</v>
      </c>
    </row>
    <row r="28" spans="1:16" x14ac:dyDescent="0.2">
      <c r="B28" t="s">
        <v>69</v>
      </c>
      <c r="C28">
        <v>3100.9</v>
      </c>
      <c r="D28">
        <v>1</v>
      </c>
      <c r="E28" s="84">
        <f t="shared" si="5"/>
        <v>5</v>
      </c>
      <c r="H28" t="s">
        <v>69</v>
      </c>
      <c r="I28">
        <v>310.09000000000009</v>
      </c>
      <c r="J28">
        <v>1</v>
      </c>
      <c r="K28">
        <f t="shared" si="6"/>
        <v>5</v>
      </c>
      <c r="O28" t="s">
        <v>161</v>
      </c>
      <c r="P28">
        <v>1</v>
      </c>
    </row>
    <row r="29" spans="1:16" x14ac:dyDescent="0.2">
      <c r="A29" t="s">
        <v>710</v>
      </c>
      <c r="C29">
        <v>23755.644</v>
      </c>
      <c r="D29">
        <v>7</v>
      </c>
      <c r="E29" s="72"/>
      <c r="G29" t="s">
        <v>710</v>
      </c>
      <c r="I29">
        <v>2268.6840000000007</v>
      </c>
      <c r="J29">
        <v>7</v>
      </c>
      <c r="O29" t="s">
        <v>87</v>
      </c>
      <c r="P29">
        <v>1</v>
      </c>
    </row>
    <row r="30" spans="1:16" x14ac:dyDescent="0.2">
      <c r="A30" t="s">
        <v>700</v>
      </c>
      <c r="B30" t="s">
        <v>329</v>
      </c>
      <c r="C30">
        <v>13221.56</v>
      </c>
      <c r="D30">
        <v>8</v>
      </c>
      <c r="E30" s="84">
        <f>RANK(C30,$C$30:$C$42,0)</f>
        <v>1</v>
      </c>
      <c r="G30" t="s">
        <v>700</v>
      </c>
      <c r="H30" t="s">
        <v>329</v>
      </c>
      <c r="I30">
        <v>1262.3599999999999</v>
      </c>
      <c r="J30">
        <v>8</v>
      </c>
      <c r="K30">
        <f>RANK(I30,$I$30:$I$42,0)</f>
        <v>1</v>
      </c>
      <c r="O30" t="s">
        <v>71</v>
      </c>
      <c r="P30">
        <v>1</v>
      </c>
    </row>
    <row r="31" spans="1:16" x14ac:dyDescent="0.2">
      <c r="B31" t="s">
        <v>173</v>
      </c>
      <c r="C31">
        <v>10127.700000000001</v>
      </c>
      <c r="D31">
        <v>3</v>
      </c>
      <c r="E31" s="84">
        <f t="shared" ref="E31:E42" si="7">RANK(C31,$C$30:$C$42,0)</f>
        <v>2</v>
      </c>
      <c r="H31" t="s">
        <v>173</v>
      </c>
      <c r="I31">
        <v>1012.7700000000002</v>
      </c>
      <c r="J31">
        <v>3</v>
      </c>
      <c r="K31">
        <f t="shared" ref="K31:K42" si="8">RANK(I31,$I$30:$I$42,0)</f>
        <v>2</v>
      </c>
      <c r="O31" t="s">
        <v>233</v>
      </c>
      <c r="P31">
        <v>2</v>
      </c>
    </row>
    <row r="32" spans="1:16" x14ac:dyDescent="0.2">
      <c r="B32" t="s">
        <v>39</v>
      </c>
      <c r="C32">
        <v>8798.9</v>
      </c>
      <c r="D32">
        <v>1</v>
      </c>
      <c r="E32" s="84">
        <f t="shared" si="7"/>
        <v>3</v>
      </c>
      <c r="H32" t="s">
        <v>39</v>
      </c>
      <c r="I32">
        <v>879.88999999999953</v>
      </c>
      <c r="J32">
        <v>1</v>
      </c>
      <c r="K32">
        <f t="shared" si="8"/>
        <v>3</v>
      </c>
      <c r="O32" t="s">
        <v>131</v>
      </c>
      <c r="P32">
        <v>1</v>
      </c>
    </row>
    <row r="33" spans="1:16" x14ac:dyDescent="0.2">
      <c r="B33" t="s">
        <v>73</v>
      </c>
      <c r="C33">
        <v>5651.8</v>
      </c>
      <c r="D33">
        <v>2</v>
      </c>
      <c r="E33" s="84">
        <f t="shared" si="7"/>
        <v>4</v>
      </c>
      <c r="H33" t="s">
        <v>73</v>
      </c>
      <c r="I33">
        <v>565.18000000000018</v>
      </c>
      <c r="J33">
        <v>2</v>
      </c>
      <c r="K33">
        <f t="shared" si="8"/>
        <v>4</v>
      </c>
      <c r="O33" t="s">
        <v>105</v>
      </c>
      <c r="P33">
        <v>1</v>
      </c>
    </row>
    <row r="34" spans="1:16" x14ac:dyDescent="0.2">
      <c r="B34" t="s">
        <v>181</v>
      </c>
      <c r="C34">
        <v>5057.8</v>
      </c>
      <c r="D34">
        <v>2</v>
      </c>
      <c r="E34" s="84">
        <f t="shared" si="7"/>
        <v>5</v>
      </c>
      <c r="H34" t="s">
        <v>181</v>
      </c>
      <c r="I34">
        <v>505.7800000000002</v>
      </c>
      <c r="J34">
        <v>2</v>
      </c>
      <c r="K34">
        <f t="shared" si="8"/>
        <v>5</v>
      </c>
      <c r="O34" t="s">
        <v>127</v>
      </c>
      <c r="P34">
        <v>2</v>
      </c>
    </row>
    <row r="35" spans="1:16" x14ac:dyDescent="0.2">
      <c r="B35" t="s">
        <v>81</v>
      </c>
      <c r="C35">
        <v>4961</v>
      </c>
      <c r="D35">
        <v>2</v>
      </c>
      <c r="E35" s="84">
        <f t="shared" si="7"/>
        <v>6</v>
      </c>
      <c r="H35" t="s">
        <v>81</v>
      </c>
      <c r="I35">
        <v>496.1</v>
      </c>
      <c r="J35">
        <v>2</v>
      </c>
      <c r="K35">
        <f t="shared" si="8"/>
        <v>6</v>
      </c>
      <c r="O35" t="s">
        <v>123</v>
      </c>
      <c r="P35">
        <v>2</v>
      </c>
    </row>
    <row r="36" spans="1:16" x14ac:dyDescent="0.2">
      <c r="B36" t="s">
        <v>97</v>
      </c>
      <c r="C36">
        <v>4837.8</v>
      </c>
      <c r="D36">
        <v>2</v>
      </c>
      <c r="E36" s="84">
        <f t="shared" si="7"/>
        <v>7</v>
      </c>
      <c r="H36" t="s">
        <v>97</v>
      </c>
      <c r="I36">
        <v>483.7800000000002</v>
      </c>
      <c r="J36">
        <v>2</v>
      </c>
      <c r="K36">
        <f t="shared" si="8"/>
        <v>7</v>
      </c>
      <c r="O36" t="s">
        <v>133</v>
      </c>
      <c r="P36">
        <v>1</v>
      </c>
    </row>
    <row r="37" spans="1:16" x14ac:dyDescent="0.2">
      <c r="B37" t="s">
        <v>115</v>
      </c>
      <c r="C37">
        <v>4461.8419999999996</v>
      </c>
      <c r="D37">
        <v>1</v>
      </c>
      <c r="E37" s="84">
        <f t="shared" si="7"/>
        <v>8</v>
      </c>
      <c r="H37" t="s">
        <v>47</v>
      </c>
      <c r="I37">
        <v>373.8900000000001</v>
      </c>
      <c r="J37">
        <v>1</v>
      </c>
      <c r="K37">
        <f t="shared" si="8"/>
        <v>8</v>
      </c>
      <c r="O37" t="s">
        <v>149</v>
      </c>
      <c r="P37">
        <v>1</v>
      </c>
    </row>
    <row r="38" spans="1:16" x14ac:dyDescent="0.2">
      <c r="B38" t="s">
        <v>95</v>
      </c>
      <c r="C38">
        <v>3986.444</v>
      </c>
      <c r="D38">
        <v>2</v>
      </c>
      <c r="E38" s="84">
        <f t="shared" si="7"/>
        <v>9</v>
      </c>
      <c r="H38" t="s">
        <v>115</v>
      </c>
      <c r="I38">
        <v>364.23199999999957</v>
      </c>
      <c r="J38">
        <v>1</v>
      </c>
      <c r="K38">
        <f t="shared" si="8"/>
        <v>9</v>
      </c>
      <c r="O38" t="s">
        <v>43</v>
      </c>
      <c r="P38">
        <v>2</v>
      </c>
    </row>
    <row r="39" spans="1:16" x14ac:dyDescent="0.2">
      <c r="B39" t="s">
        <v>47</v>
      </c>
      <c r="C39">
        <v>3738.9</v>
      </c>
      <c r="D39">
        <v>1</v>
      </c>
      <c r="E39" s="84">
        <f t="shared" si="7"/>
        <v>10</v>
      </c>
      <c r="H39" t="s">
        <v>95</v>
      </c>
      <c r="I39">
        <v>325.42400000000021</v>
      </c>
      <c r="J39">
        <v>2</v>
      </c>
      <c r="K39">
        <f t="shared" si="8"/>
        <v>10</v>
      </c>
      <c r="O39" t="s">
        <v>47</v>
      </c>
      <c r="P39">
        <v>1</v>
      </c>
    </row>
    <row r="40" spans="1:16" x14ac:dyDescent="0.2">
      <c r="B40" t="s">
        <v>311</v>
      </c>
      <c r="C40">
        <v>2585.0440000000003</v>
      </c>
      <c r="D40">
        <v>2</v>
      </c>
      <c r="E40" s="84">
        <f t="shared" si="7"/>
        <v>11</v>
      </c>
      <c r="H40" t="s">
        <v>311</v>
      </c>
      <c r="I40">
        <v>211.0240000000002</v>
      </c>
      <c r="J40">
        <v>2</v>
      </c>
      <c r="K40">
        <f t="shared" si="8"/>
        <v>11</v>
      </c>
      <c r="O40" t="s">
        <v>45</v>
      </c>
      <c r="P40">
        <v>1</v>
      </c>
    </row>
    <row r="41" spans="1:16" x14ac:dyDescent="0.2">
      <c r="B41" t="s">
        <v>247</v>
      </c>
      <c r="C41">
        <v>1815</v>
      </c>
      <c r="D41">
        <v>10</v>
      </c>
      <c r="E41" s="84">
        <f t="shared" si="7"/>
        <v>12</v>
      </c>
      <c r="H41" t="s">
        <v>247</v>
      </c>
      <c r="I41">
        <v>181.5</v>
      </c>
      <c r="J41">
        <v>10</v>
      </c>
      <c r="K41">
        <f t="shared" si="8"/>
        <v>12</v>
      </c>
      <c r="O41" t="s">
        <v>241</v>
      </c>
      <c r="P41">
        <v>9</v>
      </c>
    </row>
    <row r="42" spans="1:16" x14ac:dyDescent="0.2">
      <c r="B42" t="s">
        <v>141</v>
      </c>
      <c r="C42">
        <v>1703.9</v>
      </c>
      <c r="D42">
        <v>1</v>
      </c>
      <c r="E42" s="84">
        <f t="shared" si="7"/>
        <v>13</v>
      </c>
      <c r="H42" t="s">
        <v>141</v>
      </c>
      <c r="I42">
        <v>170.3900000000001</v>
      </c>
      <c r="J42">
        <v>1</v>
      </c>
      <c r="K42">
        <f t="shared" si="8"/>
        <v>13</v>
      </c>
      <c r="O42" t="s">
        <v>189</v>
      </c>
      <c r="P42">
        <v>2</v>
      </c>
    </row>
    <row r="43" spans="1:16" x14ac:dyDescent="0.2">
      <c r="A43" t="s">
        <v>711</v>
      </c>
      <c r="C43">
        <v>70947.69</v>
      </c>
      <c r="D43">
        <v>37</v>
      </c>
      <c r="E43" s="72"/>
      <c r="G43" t="s">
        <v>711</v>
      </c>
      <c r="I43">
        <v>6832.3200000000006</v>
      </c>
      <c r="J43">
        <v>37</v>
      </c>
      <c r="O43" t="s">
        <v>203</v>
      </c>
      <c r="P43">
        <v>2</v>
      </c>
    </row>
    <row r="44" spans="1:16" x14ac:dyDescent="0.2">
      <c r="A44" t="s">
        <v>690</v>
      </c>
      <c r="B44" t="s">
        <v>65</v>
      </c>
      <c r="C44">
        <v>10557.8</v>
      </c>
      <c r="D44">
        <v>2</v>
      </c>
      <c r="E44" s="72">
        <f>RANK(C44,$C$44:$C$47,0)</f>
        <v>1</v>
      </c>
      <c r="G44" t="s">
        <v>690</v>
      </c>
      <c r="H44" t="s">
        <v>65</v>
      </c>
      <c r="I44">
        <v>1055.7799999999991</v>
      </c>
      <c r="J44">
        <v>2</v>
      </c>
      <c r="K44">
        <f>RANK(I44,$I$44:$I$47,0)</f>
        <v>1</v>
      </c>
      <c r="O44" t="s">
        <v>179</v>
      </c>
      <c r="P44">
        <v>2</v>
      </c>
    </row>
    <row r="45" spans="1:16" x14ac:dyDescent="0.2">
      <c r="B45" t="s">
        <v>179</v>
      </c>
      <c r="C45">
        <v>3753.7060000000001</v>
      </c>
      <c r="D45">
        <v>2</v>
      </c>
      <c r="E45" s="72">
        <f t="shared" ref="E45:E47" si="9">RANK(C45,$C$44:$C$47,0)</f>
        <v>2</v>
      </c>
      <c r="H45" t="s">
        <v>179</v>
      </c>
      <c r="I45">
        <v>270.88600000000019</v>
      </c>
      <c r="J45">
        <v>2</v>
      </c>
      <c r="K45">
        <f t="shared" ref="K45:K47" si="10">RANK(I45,$I$44:$I$47,0)</f>
        <v>2</v>
      </c>
      <c r="O45" t="s">
        <v>181</v>
      </c>
      <c r="P45">
        <v>2</v>
      </c>
    </row>
    <row r="46" spans="1:16" x14ac:dyDescent="0.2">
      <c r="B46" t="s">
        <v>145</v>
      </c>
      <c r="C46">
        <v>3485.8890000000001</v>
      </c>
      <c r="D46">
        <v>3</v>
      </c>
      <c r="E46" s="72">
        <f t="shared" si="9"/>
        <v>3</v>
      </c>
      <c r="H46" t="s">
        <v>145</v>
      </c>
      <c r="I46">
        <v>251.55900000000031</v>
      </c>
      <c r="J46">
        <v>3</v>
      </c>
      <c r="K46">
        <f t="shared" si="10"/>
        <v>3</v>
      </c>
      <c r="O46" t="s">
        <v>199</v>
      </c>
      <c r="P46">
        <v>1</v>
      </c>
    </row>
    <row r="47" spans="1:16" x14ac:dyDescent="0.2">
      <c r="B47" t="s">
        <v>27</v>
      </c>
      <c r="C47">
        <v>2195.6</v>
      </c>
      <c r="D47">
        <v>4</v>
      </c>
      <c r="E47" s="72">
        <f t="shared" si="9"/>
        <v>4</v>
      </c>
      <c r="H47" t="s">
        <v>27</v>
      </c>
      <c r="I47">
        <v>219.55999999999989</v>
      </c>
      <c r="J47">
        <v>4</v>
      </c>
      <c r="K47">
        <f t="shared" si="10"/>
        <v>4</v>
      </c>
      <c r="O47" t="s">
        <v>193</v>
      </c>
      <c r="P47">
        <v>1</v>
      </c>
    </row>
    <row r="48" spans="1:16" x14ac:dyDescent="0.2">
      <c r="A48" t="s">
        <v>712</v>
      </c>
      <c r="C48">
        <v>19992.994999999999</v>
      </c>
      <c r="D48">
        <v>11</v>
      </c>
      <c r="E48" s="72"/>
      <c r="G48" t="s">
        <v>712</v>
      </c>
      <c r="I48">
        <v>1797.7849999999994</v>
      </c>
      <c r="J48">
        <v>11</v>
      </c>
      <c r="O48" t="s">
        <v>269</v>
      </c>
      <c r="P48">
        <v>5</v>
      </c>
    </row>
    <row r="49" spans="1:16" x14ac:dyDescent="0.2">
      <c r="A49" t="s">
        <v>698</v>
      </c>
      <c r="B49" t="s">
        <v>77</v>
      </c>
      <c r="C49">
        <v>10742.6</v>
      </c>
      <c r="D49">
        <v>2</v>
      </c>
      <c r="E49" s="72">
        <f>RANK(C49,$C$49:$C$55,0)</f>
        <v>1</v>
      </c>
      <c r="G49" t="s">
        <v>698</v>
      </c>
      <c r="H49" t="s">
        <v>77</v>
      </c>
      <c r="I49">
        <v>1074.2600000000004</v>
      </c>
      <c r="J49">
        <v>2</v>
      </c>
      <c r="K49">
        <f>RANK(I49,$I$49:$I$55,0)</f>
        <v>1</v>
      </c>
      <c r="O49" t="s">
        <v>291</v>
      </c>
      <c r="P49">
        <v>1</v>
      </c>
    </row>
    <row r="50" spans="1:16" x14ac:dyDescent="0.2">
      <c r="B50" t="s">
        <v>91</v>
      </c>
      <c r="C50">
        <v>8505.2000000000007</v>
      </c>
      <c r="D50">
        <v>2</v>
      </c>
      <c r="E50" s="72">
        <f t="shared" ref="E50:E55" si="11">RANK(C50,$C$49:$C$55,0)</f>
        <v>2</v>
      </c>
      <c r="H50" t="s">
        <v>91</v>
      </c>
      <c r="I50">
        <v>850.52000000000089</v>
      </c>
      <c r="J50">
        <v>2</v>
      </c>
      <c r="K50">
        <f t="shared" ref="K50:K55" si="12">RANK(I50,$I$49:$I$55,0)</f>
        <v>2</v>
      </c>
      <c r="O50" t="s">
        <v>81</v>
      </c>
      <c r="P50">
        <v>2</v>
      </c>
    </row>
    <row r="51" spans="1:16" x14ac:dyDescent="0.2">
      <c r="B51" t="s">
        <v>127</v>
      </c>
      <c r="C51">
        <v>8137.8</v>
      </c>
      <c r="D51">
        <v>2</v>
      </c>
      <c r="E51" s="72">
        <f t="shared" si="11"/>
        <v>3</v>
      </c>
      <c r="H51" t="s">
        <v>127</v>
      </c>
      <c r="I51">
        <v>813.7800000000002</v>
      </c>
      <c r="J51">
        <v>2</v>
      </c>
      <c r="K51">
        <f t="shared" si="12"/>
        <v>3</v>
      </c>
      <c r="O51" t="s">
        <v>571</v>
      </c>
      <c r="P51">
        <v>2</v>
      </c>
    </row>
    <row r="52" spans="1:16" x14ac:dyDescent="0.2">
      <c r="B52" t="s">
        <v>253</v>
      </c>
      <c r="C52">
        <v>3309.3059999999996</v>
      </c>
      <c r="D52">
        <v>5</v>
      </c>
      <c r="E52" s="72">
        <f t="shared" si="11"/>
        <v>4</v>
      </c>
      <c r="H52" t="s">
        <v>253</v>
      </c>
      <c r="I52">
        <v>294.75599999999986</v>
      </c>
      <c r="J52">
        <v>5</v>
      </c>
      <c r="K52">
        <f t="shared" si="12"/>
        <v>4</v>
      </c>
      <c r="O52" t="s">
        <v>69</v>
      </c>
      <c r="P52">
        <v>1</v>
      </c>
    </row>
    <row r="53" spans="1:16" x14ac:dyDescent="0.2">
      <c r="B53" t="s">
        <v>287</v>
      </c>
      <c r="C53">
        <v>3096.0159999999996</v>
      </c>
      <c r="D53">
        <v>8</v>
      </c>
      <c r="E53" s="72">
        <f t="shared" si="11"/>
        <v>5</v>
      </c>
      <c r="H53" t="s">
        <v>287</v>
      </c>
      <c r="I53">
        <v>252.73599999999979</v>
      </c>
      <c r="J53">
        <v>8</v>
      </c>
      <c r="K53">
        <f t="shared" si="12"/>
        <v>5</v>
      </c>
      <c r="O53" t="s">
        <v>39</v>
      </c>
      <c r="P53">
        <v>1</v>
      </c>
    </row>
    <row r="54" spans="1:16" x14ac:dyDescent="0.2">
      <c r="B54" t="s">
        <v>259</v>
      </c>
      <c r="C54">
        <v>1580.6999999999998</v>
      </c>
      <c r="D54">
        <v>3</v>
      </c>
      <c r="E54" s="72">
        <f t="shared" si="11"/>
        <v>6</v>
      </c>
      <c r="H54" t="s">
        <v>259</v>
      </c>
      <c r="I54">
        <v>158.06999999999991</v>
      </c>
      <c r="J54">
        <v>3</v>
      </c>
      <c r="K54">
        <f t="shared" si="12"/>
        <v>6</v>
      </c>
      <c r="O54" t="s">
        <v>37</v>
      </c>
      <c r="P54">
        <v>1</v>
      </c>
    </row>
    <row r="55" spans="1:16" x14ac:dyDescent="0.2">
      <c r="B55" t="s">
        <v>223</v>
      </c>
      <c r="C55">
        <v>1067.22</v>
      </c>
      <c r="D55">
        <v>10</v>
      </c>
      <c r="E55" s="72">
        <f t="shared" si="11"/>
        <v>7</v>
      </c>
      <c r="H55" t="s">
        <v>223</v>
      </c>
      <c r="I55">
        <v>87.120000000000061</v>
      </c>
      <c r="J55">
        <v>10</v>
      </c>
      <c r="K55">
        <f t="shared" si="12"/>
        <v>7</v>
      </c>
      <c r="O55" t="s">
        <v>41</v>
      </c>
      <c r="P55">
        <v>1</v>
      </c>
    </row>
    <row r="56" spans="1:16" x14ac:dyDescent="0.2">
      <c r="A56" t="s">
        <v>713</v>
      </c>
      <c r="C56">
        <v>36438.842000000004</v>
      </c>
      <c r="D56">
        <v>32</v>
      </c>
      <c r="E56" s="72"/>
      <c r="G56" t="s">
        <v>713</v>
      </c>
      <c r="I56">
        <v>3531.2420000000011</v>
      </c>
      <c r="J56">
        <v>32</v>
      </c>
      <c r="O56" t="s">
        <v>145</v>
      </c>
      <c r="P56">
        <v>3</v>
      </c>
    </row>
    <row r="57" spans="1:16" x14ac:dyDescent="0.2">
      <c r="A57" t="s">
        <v>697</v>
      </c>
      <c r="B57" t="s">
        <v>117</v>
      </c>
      <c r="C57">
        <v>9295</v>
      </c>
      <c r="D57">
        <v>2</v>
      </c>
      <c r="E57" s="72">
        <f>RANK(C57,$C$57:$C$62,0)</f>
        <v>1</v>
      </c>
      <c r="G57" t="s">
        <v>697</v>
      </c>
      <c r="H57" t="s">
        <v>117</v>
      </c>
      <c r="I57">
        <v>929.5</v>
      </c>
      <c r="J57">
        <v>2</v>
      </c>
      <c r="K57">
        <f>RANK(I57,$I$57:$I$62,0)</f>
        <v>1</v>
      </c>
      <c r="O57" t="s">
        <v>319</v>
      </c>
      <c r="P57">
        <v>2</v>
      </c>
    </row>
    <row r="58" spans="1:16" x14ac:dyDescent="0.2">
      <c r="B58" t="s">
        <v>133</v>
      </c>
      <c r="C58">
        <v>6378.9</v>
      </c>
      <c r="D58">
        <v>1</v>
      </c>
      <c r="E58" s="72">
        <f t="shared" ref="E58:E62" si="13">RANK(C58,$C$57:$C$62,0)</f>
        <v>2</v>
      </c>
      <c r="H58" t="s">
        <v>133</v>
      </c>
      <c r="I58">
        <v>637.88999999999953</v>
      </c>
      <c r="J58">
        <v>1</v>
      </c>
      <c r="K58">
        <f t="shared" ref="K58:K62" si="14">RANK(I58,$I$57:$I$62,0)</f>
        <v>2</v>
      </c>
      <c r="O58" t="s">
        <v>223</v>
      </c>
      <c r="P58">
        <v>10</v>
      </c>
    </row>
    <row r="59" spans="1:16" x14ac:dyDescent="0.2">
      <c r="B59" t="s">
        <v>123</v>
      </c>
      <c r="C59">
        <v>4741.0439999999999</v>
      </c>
      <c r="D59">
        <v>2</v>
      </c>
      <c r="E59" s="72">
        <f t="shared" si="13"/>
        <v>3</v>
      </c>
      <c r="H59" t="s">
        <v>123</v>
      </c>
      <c r="I59">
        <v>387.02400000000023</v>
      </c>
      <c r="J59">
        <v>2</v>
      </c>
      <c r="K59">
        <f t="shared" si="14"/>
        <v>3</v>
      </c>
      <c r="O59" t="s">
        <v>297</v>
      </c>
      <c r="P59">
        <v>5</v>
      </c>
    </row>
    <row r="60" spans="1:16" x14ac:dyDescent="0.2">
      <c r="B60" t="s">
        <v>299</v>
      </c>
      <c r="C60">
        <v>2139.5</v>
      </c>
      <c r="D60">
        <v>5</v>
      </c>
      <c r="E60" s="72">
        <f t="shared" si="13"/>
        <v>4</v>
      </c>
      <c r="H60" t="s">
        <v>299</v>
      </c>
      <c r="I60">
        <v>213.94999999999987</v>
      </c>
      <c r="J60">
        <v>5</v>
      </c>
      <c r="K60">
        <f t="shared" si="14"/>
        <v>4</v>
      </c>
      <c r="O60" t="s">
        <v>299</v>
      </c>
      <c r="P60">
        <v>5</v>
      </c>
    </row>
    <row r="61" spans="1:16" x14ac:dyDescent="0.2">
      <c r="B61" t="s">
        <v>205</v>
      </c>
      <c r="C61">
        <v>1428.9</v>
      </c>
      <c r="D61">
        <v>1</v>
      </c>
      <c r="E61" s="72">
        <f t="shared" si="13"/>
        <v>5</v>
      </c>
      <c r="H61" t="s">
        <v>205</v>
      </c>
      <c r="I61">
        <v>142.8900000000001</v>
      </c>
      <c r="J61">
        <v>1</v>
      </c>
      <c r="K61">
        <f t="shared" si="14"/>
        <v>5</v>
      </c>
      <c r="O61" t="s">
        <v>51</v>
      </c>
      <c r="P61">
        <v>3</v>
      </c>
    </row>
    <row r="62" spans="1:16" x14ac:dyDescent="0.2">
      <c r="B62" t="s">
        <v>187</v>
      </c>
      <c r="C62">
        <v>1153.9000000000001</v>
      </c>
      <c r="D62">
        <v>1</v>
      </c>
      <c r="E62" s="72">
        <f t="shared" si="13"/>
        <v>6</v>
      </c>
      <c r="H62" t="s">
        <v>187</v>
      </c>
      <c r="I62">
        <v>115.39000000000011</v>
      </c>
      <c r="J62">
        <v>1</v>
      </c>
      <c r="K62">
        <f t="shared" si="14"/>
        <v>6</v>
      </c>
      <c r="O62" t="s">
        <v>53</v>
      </c>
      <c r="P62">
        <v>4</v>
      </c>
    </row>
    <row r="63" spans="1:16" x14ac:dyDescent="0.2">
      <c r="A63" t="s">
        <v>714</v>
      </c>
      <c r="C63">
        <v>25137.243999999999</v>
      </c>
      <c r="D63">
        <v>12</v>
      </c>
      <c r="E63" s="72"/>
      <c r="G63" t="s">
        <v>714</v>
      </c>
      <c r="I63">
        <v>2426.6439999999993</v>
      </c>
      <c r="J63">
        <v>12</v>
      </c>
      <c r="O63" t="s">
        <v>311</v>
      </c>
      <c r="P63">
        <v>2</v>
      </c>
    </row>
    <row r="64" spans="1:16" x14ac:dyDescent="0.2">
      <c r="A64" t="s">
        <v>691</v>
      </c>
      <c r="B64" t="s">
        <v>45</v>
      </c>
      <c r="C64">
        <v>36276.932999999997</v>
      </c>
      <c r="D64">
        <v>1</v>
      </c>
      <c r="E64" s="72">
        <f>RANK(C64,$C$64:$C$70,0)</f>
        <v>1</v>
      </c>
      <c r="G64" t="s">
        <v>691</v>
      </c>
      <c r="H64" t="s">
        <v>45</v>
      </c>
      <c r="I64">
        <v>2617.9230000000016</v>
      </c>
      <c r="J64">
        <v>1</v>
      </c>
      <c r="K64">
        <f>RANK(I64,$I$64:$I$70,0)</f>
        <v>1</v>
      </c>
      <c r="O64" t="s">
        <v>25</v>
      </c>
      <c r="P64">
        <v>5</v>
      </c>
    </row>
    <row r="65" spans="1:16" x14ac:dyDescent="0.2">
      <c r="B65" t="s">
        <v>43</v>
      </c>
      <c r="C65">
        <v>8797.7999999999993</v>
      </c>
      <c r="D65">
        <v>2</v>
      </c>
      <c r="E65" s="72">
        <f t="shared" ref="E65:E70" si="15">RANK(C65,$C$64:$C$70,0)</f>
        <v>2</v>
      </c>
      <c r="H65" t="s">
        <v>43</v>
      </c>
      <c r="I65">
        <v>879.77999999999918</v>
      </c>
      <c r="J65">
        <v>2</v>
      </c>
      <c r="K65">
        <f t="shared" ref="K65:K70" si="16">RANK(I65,$I$64:$I$70,0)</f>
        <v>2</v>
      </c>
      <c r="O65" t="s">
        <v>141</v>
      </c>
      <c r="P65">
        <v>1</v>
      </c>
    </row>
    <row r="66" spans="1:16" x14ac:dyDescent="0.2">
      <c r="B66" t="s">
        <v>189</v>
      </c>
      <c r="C66">
        <v>4387.46</v>
      </c>
      <c r="D66">
        <v>2</v>
      </c>
      <c r="E66" s="72">
        <f t="shared" si="15"/>
        <v>3</v>
      </c>
      <c r="H66" t="s">
        <v>113</v>
      </c>
      <c r="I66">
        <v>434.38999999999959</v>
      </c>
      <c r="J66">
        <v>1</v>
      </c>
      <c r="K66">
        <f t="shared" si="16"/>
        <v>3</v>
      </c>
      <c r="O66" t="s">
        <v>281</v>
      </c>
      <c r="P66">
        <v>5</v>
      </c>
    </row>
    <row r="67" spans="1:16" x14ac:dyDescent="0.2">
      <c r="B67" t="s">
        <v>113</v>
      </c>
      <c r="C67">
        <v>4343.8999999999996</v>
      </c>
      <c r="D67">
        <v>1</v>
      </c>
      <c r="E67" s="72">
        <f t="shared" si="15"/>
        <v>4</v>
      </c>
      <c r="H67" t="s">
        <v>189</v>
      </c>
      <c r="I67">
        <v>358.16</v>
      </c>
      <c r="J67">
        <v>2</v>
      </c>
      <c r="K67">
        <f t="shared" si="16"/>
        <v>4</v>
      </c>
      <c r="O67" t="s">
        <v>259</v>
      </c>
      <c r="P67">
        <v>3</v>
      </c>
    </row>
    <row r="68" spans="1:16" x14ac:dyDescent="0.2">
      <c r="B68" t="s">
        <v>37</v>
      </c>
      <c r="C68">
        <v>3448.5219999999999</v>
      </c>
      <c r="D68">
        <v>1</v>
      </c>
      <c r="E68" s="72">
        <f t="shared" si="15"/>
        <v>5</v>
      </c>
      <c r="H68" t="s">
        <v>121</v>
      </c>
      <c r="I68">
        <v>336.49000000000012</v>
      </c>
      <c r="J68">
        <v>1</v>
      </c>
      <c r="K68">
        <f t="shared" si="16"/>
        <v>5</v>
      </c>
      <c r="O68" t="s">
        <v>261</v>
      </c>
      <c r="P68">
        <v>3</v>
      </c>
    </row>
    <row r="69" spans="1:16" x14ac:dyDescent="0.2">
      <c r="B69" t="s">
        <v>121</v>
      </c>
      <c r="C69">
        <v>3364.9</v>
      </c>
      <c r="D69">
        <v>1</v>
      </c>
      <c r="E69" s="72">
        <f t="shared" si="15"/>
        <v>6</v>
      </c>
      <c r="H69" t="s">
        <v>37</v>
      </c>
      <c r="I69">
        <v>281.51200000000011</v>
      </c>
      <c r="J69">
        <v>1</v>
      </c>
      <c r="K69">
        <f t="shared" si="16"/>
        <v>6</v>
      </c>
      <c r="O69" t="s">
        <v>27</v>
      </c>
      <c r="P69">
        <v>4</v>
      </c>
    </row>
    <row r="70" spans="1:16" x14ac:dyDescent="0.2">
      <c r="B70" t="s">
        <v>243</v>
      </c>
      <c r="C70">
        <v>636.99900000000002</v>
      </c>
      <c r="D70">
        <v>3</v>
      </c>
      <c r="E70" s="72">
        <f t="shared" si="15"/>
        <v>7</v>
      </c>
      <c r="H70" t="s">
        <v>243</v>
      </c>
      <c r="I70">
        <v>45.969000000000023</v>
      </c>
      <c r="J70">
        <v>3</v>
      </c>
      <c r="K70">
        <f t="shared" si="16"/>
        <v>7</v>
      </c>
      <c r="O70" t="s">
        <v>33</v>
      </c>
      <c r="P70">
        <v>3</v>
      </c>
    </row>
    <row r="71" spans="1:16" x14ac:dyDescent="0.2">
      <c r="A71" t="s">
        <v>715</v>
      </c>
      <c r="C71">
        <v>61256.513999999988</v>
      </c>
      <c r="D71">
        <v>11</v>
      </c>
      <c r="E71" s="72"/>
      <c r="G71" t="s">
        <v>715</v>
      </c>
      <c r="I71">
        <v>4954.2240000000002</v>
      </c>
      <c r="J71">
        <v>11</v>
      </c>
      <c r="O71" t="s">
        <v>77</v>
      </c>
      <c r="P71">
        <v>2</v>
      </c>
    </row>
    <row r="72" spans="1:16" x14ac:dyDescent="0.2">
      <c r="A72" t="s">
        <v>696</v>
      </c>
      <c r="B72" t="s">
        <v>105</v>
      </c>
      <c r="C72">
        <v>4203.1219999999994</v>
      </c>
      <c r="D72">
        <v>1</v>
      </c>
      <c r="E72" s="72">
        <f>RANK(C72,$C$72:$C$78,0)</f>
        <v>1</v>
      </c>
      <c r="G72" t="s">
        <v>696</v>
      </c>
      <c r="H72" t="s">
        <v>105</v>
      </c>
      <c r="I72">
        <v>343.11199999999957</v>
      </c>
      <c r="J72">
        <v>1</v>
      </c>
      <c r="K72">
        <f>RANK(I72,$I$72:$I$78,0)</f>
        <v>1</v>
      </c>
      <c r="O72" t="s">
        <v>329</v>
      </c>
      <c r="P72">
        <v>8</v>
      </c>
    </row>
    <row r="73" spans="1:16" x14ac:dyDescent="0.2">
      <c r="B73" t="s">
        <v>101</v>
      </c>
      <c r="C73">
        <v>3093.2330000000002</v>
      </c>
      <c r="D73">
        <v>1</v>
      </c>
      <c r="E73" s="72">
        <f t="shared" ref="E73:E78" si="17">RANK(C73,$C$72:$C$78,0)</f>
        <v>2</v>
      </c>
      <c r="H73" t="s">
        <v>101</v>
      </c>
      <c r="I73">
        <v>223.2230000000001</v>
      </c>
      <c r="J73">
        <v>1</v>
      </c>
      <c r="K73">
        <f t="shared" ref="K73:K78" si="18">RANK(I73,$I$72:$I$78,0)</f>
        <v>2</v>
      </c>
      <c r="O73" t="s">
        <v>205</v>
      </c>
      <c r="P73">
        <v>1</v>
      </c>
    </row>
    <row r="74" spans="1:16" x14ac:dyDescent="0.2">
      <c r="B74" t="s">
        <v>275</v>
      </c>
      <c r="C74">
        <v>2198.9</v>
      </c>
      <c r="D74">
        <v>1</v>
      </c>
      <c r="E74" s="72">
        <f t="shared" si="17"/>
        <v>3</v>
      </c>
      <c r="H74" t="s">
        <v>275</v>
      </c>
      <c r="I74">
        <v>219.8900000000001</v>
      </c>
      <c r="J74">
        <v>1</v>
      </c>
      <c r="K74">
        <f t="shared" si="18"/>
        <v>3</v>
      </c>
      <c r="O74" t="s">
        <v>153</v>
      </c>
      <c r="P74">
        <v>2</v>
      </c>
    </row>
    <row r="75" spans="1:16" x14ac:dyDescent="0.2">
      <c r="B75" t="s">
        <v>269</v>
      </c>
      <c r="C75">
        <v>1719.4099999999999</v>
      </c>
      <c r="D75">
        <v>5</v>
      </c>
      <c r="E75" s="72">
        <f t="shared" si="17"/>
        <v>4</v>
      </c>
      <c r="H75" t="s">
        <v>269</v>
      </c>
      <c r="I75">
        <v>140.35999999999987</v>
      </c>
      <c r="J75">
        <v>5</v>
      </c>
      <c r="K75">
        <f t="shared" si="18"/>
        <v>4</v>
      </c>
      <c r="O75" t="s">
        <v>247</v>
      </c>
      <c r="P75">
        <v>10</v>
      </c>
    </row>
    <row r="76" spans="1:16" x14ac:dyDescent="0.2">
      <c r="B76" t="s">
        <v>319</v>
      </c>
      <c r="C76">
        <v>1291.444</v>
      </c>
      <c r="D76">
        <v>2</v>
      </c>
      <c r="E76" s="72">
        <f t="shared" si="17"/>
        <v>5</v>
      </c>
      <c r="H76" t="s">
        <v>319</v>
      </c>
      <c r="I76">
        <v>105.42399999999995</v>
      </c>
      <c r="J76">
        <v>2</v>
      </c>
      <c r="K76">
        <f t="shared" si="18"/>
        <v>5</v>
      </c>
      <c r="O76" t="s">
        <v>289</v>
      </c>
      <c r="P76">
        <v>7</v>
      </c>
    </row>
    <row r="77" spans="1:16" x14ac:dyDescent="0.2">
      <c r="B77" t="s">
        <v>301</v>
      </c>
      <c r="C77">
        <v>1009.8</v>
      </c>
      <c r="D77">
        <v>2</v>
      </c>
      <c r="E77" s="72">
        <f t="shared" si="17"/>
        <v>6</v>
      </c>
      <c r="H77" t="s">
        <v>301</v>
      </c>
      <c r="I77">
        <v>100.97999999999995</v>
      </c>
      <c r="J77">
        <v>2</v>
      </c>
      <c r="K77">
        <f t="shared" si="18"/>
        <v>6</v>
      </c>
      <c r="O77" t="s">
        <v>331</v>
      </c>
      <c r="P77">
        <v>1</v>
      </c>
    </row>
    <row r="78" spans="1:16" x14ac:dyDescent="0.2">
      <c r="B78" t="s">
        <v>307</v>
      </c>
      <c r="C78">
        <v>767.8</v>
      </c>
      <c r="D78">
        <v>2</v>
      </c>
      <c r="E78" s="72">
        <f t="shared" si="17"/>
        <v>7</v>
      </c>
      <c r="H78" t="s">
        <v>307</v>
      </c>
      <c r="I78">
        <v>76.779999999999944</v>
      </c>
      <c r="J78">
        <v>2</v>
      </c>
      <c r="K78">
        <f t="shared" si="18"/>
        <v>7</v>
      </c>
      <c r="O78" t="s">
        <v>73</v>
      </c>
      <c r="P78">
        <v>2</v>
      </c>
    </row>
    <row r="79" spans="1:16" x14ac:dyDescent="0.2">
      <c r="A79" t="s">
        <v>716</v>
      </c>
      <c r="C79">
        <v>14283.708999999999</v>
      </c>
      <c r="D79">
        <v>14</v>
      </c>
      <c r="E79" s="72"/>
      <c r="G79" t="s">
        <v>716</v>
      </c>
      <c r="I79">
        <v>1209.7689999999996</v>
      </c>
      <c r="J79">
        <v>14</v>
      </c>
      <c r="O79" t="s">
        <v>31</v>
      </c>
      <c r="P79">
        <v>2</v>
      </c>
    </row>
    <row r="80" spans="1:16" x14ac:dyDescent="0.2">
      <c r="A80" t="s">
        <v>701</v>
      </c>
      <c r="B80" t="s">
        <v>211</v>
      </c>
      <c r="C80">
        <v>2308.9</v>
      </c>
      <c r="D80">
        <v>1</v>
      </c>
      <c r="E80" s="72">
        <f>RANK(C80,$C$80:$C$80,0)</f>
        <v>1</v>
      </c>
      <c r="G80" t="s">
        <v>701</v>
      </c>
      <c r="H80" t="s">
        <v>211</v>
      </c>
      <c r="I80">
        <v>230.8900000000001</v>
      </c>
      <c r="J80">
        <v>1</v>
      </c>
      <c r="K80">
        <f>RANK(I80,$I$80:$I$80,0)</f>
        <v>1</v>
      </c>
      <c r="O80" t="s">
        <v>63</v>
      </c>
      <c r="P80">
        <v>1</v>
      </c>
    </row>
    <row r="81" spans="1:16" x14ac:dyDescent="0.2">
      <c r="A81" t="s">
        <v>717</v>
      </c>
      <c r="C81">
        <v>2308.9</v>
      </c>
      <c r="D81">
        <v>1</v>
      </c>
      <c r="E81" s="72"/>
      <c r="G81" t="s">
        <v>717</v>
      </c>
      <c r="I81">
        <v>230.8900000000001</v>
      </c>
      <c r="J81">
        <v>1</v>
      </c>
      <c r="O81" t="s">
        <v>211</v>
      </c>
      <c r="P81">
        <v>1</v>
      </c>
    </row>
    <row r="82" spans="1:16" x14ac:dyDescent="0.2">
      <c r="A82" t="s">
        <v>695</v>
      </c>
      <c r="B82" t="s">
        <v>71</v>
      </c>
      <c r="C82">
        <v>13750</v>
      </c>
      <c r="D82">
        <v>1</v>
      </c>
      <c r="E82" s="72">
        <f>RANK(C82,$C$82:$C$88,0)</f>
        <v>1</v>
      </c>
      <c r="G82" t="s">
        <v>695</v>
      </c>
      <c r="H82" t="s">
        <v>71</v>
      </c>
      <c r="I82">
        <v>1375</v>
      </c>
      <c r="J82">
        <v>1</v>
      </c>
      <c r="K82">
        <f>RANK(I82,$I$82:$I$88,0)</f>
        <v>1</v>
      </c>
      <c r="O82" t="s">
        <v>207</v>
      </c>
      <c r="P82">
        <v>1</v>
      </c>
    </row>
    <row r="83" spans="1:16" x14ac:dyDescent="0.2">
      <c r="B83" t="s">
        <v>79</v>
      </c>
      <c r="C83">
        <v>8723</v>
      </c>
      <c r="D83">
        <v>13</v>
      </c>
      <c r="E83" s="72">
        <f t="shared" ref="E83:E88" si="19">RANK(C83,$C$82:$C$88,0)</f>
        <v>2</v>
      </c>
      <c r="H83" t="s">
        <v>79</v>
      </c>
      <c r="I83">
        <v>872.3</v>
      </c>
      <c r="J83">
        <v>13</v>
      </c>
      <c r="K83">
        <f t="shared" ref="K83:K88" si="20">RANK(I83,$I$82:$I$88,0)</f>
        <v>2</v>
      </c>
      <c r="O83" t="s">
        <v>155</v>
      </c>
      <c r="P83">
        <v>1</v>
      </c>
    </row>
    <row r="84" spans="1:16" x14ac:dyDescent="0.2">
      <c r="B84" t="s">
        <v>261</v>
      </c>
      <c r="C84">
        <v>5969.7000000000007</v>
      </c>
      <c r="D84">
        <v>3</v>
      </c>
      <c r="E84" s="72">
        <f t="shared" si="19"/>
        <v>3</v>
      </c>
      <c r="H84" t="s">
        <v>261</v>
      </c>
      <c r="I84">
        <v>596.97000000000037</v>
      </c>
      <c r="J84">
        <v>3</v>
      </c>
      <c r="K84">
        <f t="shared" si="20"/>
        <v>3</v>
      </c>
      <c r="O84" t="s">
        <v>287</v>
      </c>
      <c r="P84">
        <v>8</v>
      </c>
    </row>
    <row r="85" spans="1:16" x14ac:dyDescent="0.2">
      <c r="B85" t="s">
        <v>155</v>
      </c>
      <c r="C85">
        <v>3848.9</v>
      </c>
      <c r="D85">
        <v>1</v>
      </c>
      <c r="E85" s="72">
        <f t="shared" si="19"/>
        <v>4</v>
      </c>
      <c r="H85" t="s">
        <v>155</v>
      </c>
      <c r="I85">
        <v>384.8900000000001</v>
      </c>
      <c r="J85">
        <v>1</v>
      </c>
      <c r="K85">
        <f t="shared" si="20"/>
        <v>4</v>
      </c>
      <c r="O85" t="s">
        <v>279</v>
      </c>
      <c r="P85">
        <v>4</v>
      </c>
    </row>
    <row r="86" spans="1:16" x14ac:dyDescent="0.2">
      <c r="B86" t="s">
        <v>149</v>
      </c>
      <c r="C86">
        <v>1648.9</v>
      </c>
      <c r="D86">
        <v>1</v>
      </c>
      <c r="E86" s="72">
        <f t="shared" si="19"/>
        <v>5</v>
      </c>
      <c r="H86" t="s">
        <v>149</v>
      </c>
      <c r="I86">
        <v>164.8900000000001</v>
      </c>
      <c r="J86">
        <v>1</v>
      </c>
      <c r="K86">
        <f t="shared" si="20"/>
        <v>5</v>
      </c>
      <c r="O86" t="s">
        <v>57</v>
      </c>
      <c r="P86">
        <v>1</v>
      </c>
    </row>
    <row r="87" spans="1:16" x14ac:dyDescent="0.2">
      <c r="B87" t="s">
        <v>85</v>
      </c>
      <c r="C87">
        <v>1331</v>
      </c>
      <c r="D87">
        <v>2</v>
      </c>
      <c r="E87" s="72">
        <f t="shared" si="19"/>
        <v>6</v>
      </c>
      <c r="H87" t="s">
        <v>85</v>
      </c>
      <c r="I87">
        <v>133.1</v>
      </c>
      <c r="J87">
        <v>2</v>
      </c>
      <c r="K87">
        <f t="shared" si="20"/>
        <v>6</v>
      </c>
      <c r="O87" t="s">
        <v>65</v>
      </c>
      <c r="P87">
        <v>2</v>
      </c>
    </row>
    <row r="88" spans="1:16" x14ac:dyDescent="0.2">
      <c r="B88" t="s">
        <v>331</v>
      </c>
      <c r="C88">
        <v>515.9</v>
      </c>
      <c r="D88">
        <v>1</v>
      </c>
      <c r="E88" s="72">
        <f t="shared" si="19"/>
        <v>7</v>
      </c>
      <c r="H88" t="s">
        <v>331</v>
      </c>
      <c r="I88">
        <v>51.589999999999975</v>
      </c>
      <c r="J88">
        <v>1</v>
      </c>
      <c r="K88">
        <f t="shared" si="20"/>
        <v>7</v>
      </c>
      <c r="O88" t="s">
        <v>704</v>
      </c>
      <c r="P88">
        <v>219</v>
      </c>
    </row>
    <row r="89" spans="1:16" x14ac:dyDescent="0.2">
      <c r="A89" t="s">
        <v>718</v>
      </c>
      <c r="C89">
        <v>35787.4</v>
      </c>
      <c r="D89">
        <v>22</v>
      </c>
      <c r="E89" s="72"/>
      <c r="G89" t="s">
        <v>718</v>
      </c>
      <c r="I89">
        <v>3578.7400000000007</v>
      </c>
      <c r="J89">
        <v>22</v>
      </c>
    </row>
    <row r="90" spans="1:16" x14ac:dyDescent="0.2">
      <c r="A90" t="s">
        <v>699</v>
      </c>
      <c r="B90" t="s">
        <v>41</v>
      </c>
      <c r="C90">
        <v>15090.921999999999</v>
      </c>
      <c r="D90">
        <v>1</v>
      </c>
      <c r="E90" s="72">
        <f>RANK(C90,$C$90:$C$98,0)</f>
        <v>2</v>
      </c>
      <c r="G90" t="s">
        <v>699</v>
      </c>
      <c r="H90" t="s">
        <v>41</v>
      </c>
      <c r="I90">
        <v>1231.9119999999996</v>
      </c>
      <c r="J90">
        <v>1</v>
      </c>
      <c r="K90">
        <f>RANK(I90,$I$90:$I$98,0)</f>
        <v>2</v>
      </c>
    </row>
    <row r="91" spans="1:16" x14ac:dyDescent="0.2">
      <c r="B91" t="s">
        <v>63</v>
      </c>
      <c r="C91">
        <v>8798.9</v>
      </c>
      <c r="D91">
        <v>1</v>
      </c>
      <c r="E91" s="72">
        <f t="shared" ref="E91:E98" si="21">RANK(C91,$C$90:$C$98,0)</f>
        <v>3</v>
      </c>
      <c r="H91" t="s">
        <v>63</v>
      </c>
      <c r="I91">
        <v>879.88999999999953</v>
      </c>
      <c r="J91">
        <v>1</v>
      </c>
      <c r="K91">
        <f t="shared" ref="K91:K98" si="22">RANK(I91,$I$90:$I$98,0)</f>
        <v>3</v>
      </c>
    </row>
    <row r="92" spans="1:16" x14ac:dyDescent="0.2">
      <c r="B92" t="s">
        <v>165</v>
      </c>
      <c r="C92">
        <v>8794.5</v>
      </c>
      <c r="D92">
        <v>5</v>
      </c>
      <c r="E92" s="72">
        <f t="shared" si="21"/>
        <v>4</v>
      </c>
      <c r="H92" t="s">
        <v>165</v>
      </c>
      <c r="I92">
        <v>879.4500000000005</v>
      </c>
      <c r="J92">
        <v>5</v>
      </c>
      <c r="K92">
        <f t="shared" si="22"/>
        <v>4</v>
      </c>
    </row>
    <row r="93" spans="1:16" x14ac:dyDescent="0.2">
      <c r="B93" t="s">
        <v>279</v>
      </c>
      <c r="C93">
        <v>3515.6</v>
      </c>
      <c r="D93">
        <v>4</v>
      </c>
      <c r="E93" s="72">
        <f t="shared" si="21"/>
        <v>5</v>
      </c>
      <c r="H93" t="s">
        <v>279</v>
      </c>
      <c r="I93">
        <v>351.55999999999989</v>
      </c>
      <c r="J93">
        <v>4</v>
      </c>
      <c r="K93">
        <f t="shared" si="22"/>
        <v>5</v>
      </c>
    </row>
    <row r="94" spans="1:16" x14ac:dyDescent="0.2">
      <c r="B94" t="s">
        <v>199</v>
      </c>
      <c r="C94">
        <v>3495.8</v>
      </c>
      <c r="D94">
        <v>1</v>
      </c>
      <c r="E94" s="72">
        <f t="shared" si="21"/>
        <v>6</v>
      </c>
      <c r="H94" t="s">
        <v>199</v>
      </c>
      <c r="I94">
        <v>349.58000000000021</v>
      </c>
      <c r="J94">
        <v>1</v>
      </c>
      <c r="K94">
        <f t="shared" si="22"/>
        <v>6</v>
      </c>
    </row>
    <row r="95" spans="1:16" x14ac:dyDescent="0.2">
      <c r="B95" t="s">
        <v>183</v>
      </c>
      <c r="C95">
        <v>2440.9</v>
      </c>
      <c r="D95">
        <v>1</v>
      </c>
      <c r="E95" s="72">
        <f t="shared" si="21"/>
        <v>7</v>
      </c>
      <c r="H95" t="s">
        <v>183</v>
      </c>
      <c r="I95">
        <v>244.09000000000012</v>
      </c>
      <c r="J95">
        <v>1</v>
      </c>
      <c r="K95">
        <f t="shared" si="22"/>
        <v>7</v>
      </c>
    </row>
    <row r="96" spans="1:16" x14ac:dyDescent="0.2">
      <c r="B96" t="s">
        <v>33</v>
      </c>
      <c r="C96">
        <v>2095.5996599999999</v>
      </c>
      <c r="D96">
        <v>3</v>
      </c>
      <c r="E96" s="72">
        <f t="shared" si="21"/>
        <v>8</v>
      </c>
      <c r="H96" t="s">
        <v>33</v>
      </c>
      <c r="I96">
        <v>171.06935999999993</v>
      </c>
      <c r="J96">
        <v>3</v>
      </c>
      <c r="K96">
        <f t="shared" si="22"/>
        <v>8</v>
      </c>
    </row>
    <row r="97" spans="1:11" x14ac:dyDescent="0.2">
      <c r="B97" t="s">
        <v>291</v>
      </c>
      <c r="C97">
        <v>1098.9000000000001</v>
      </c>
      <c r="D97">
        <v>1</v>
      </c>
      <c r="E97" s="72">
        <f t="shared" si="21"/>
        <v>9</v>
      </c>
      <c r="H97" t="s">
        <v>291</v>
      </c>
      <c r="I97">
        <v>109.89000000000011</v>
      </c>
      <c r="J97">
        <v>1</v>
      </c>
      <c r="K97">
        <f t="shared" si="22"/>
        <v>9</v>
      </c>
    </row>
    <row r="98" spans="1:11" x14ac:dyDescent="0.2">
      <c r="A98" t="s">
        <v>719</v>
      </c>
      <c r="C98">
        <v>45331.121659999997</v>
      </c>
      <c r="D98">
        <v>17</v>
      </c>
      <c r="E98" s="72">
        <f t="shared" si="21"/>
        <v>1</v>
      </c>
      <c r="G98" t="s">
        <v>719</v>
      </c>
      <c r="I98">
        <v>4217.4413599999998</v>
      </c>
      <c r="J98">
        <v>17</v>
      </c>
      <c r="K98">
        <f t="shared" si="22"/>
        <v>1</v>
      </c>
    </row>
    <row r="99" spans="1:11" x14ac:dyDescent="0.2">
      <c r="A99" t="s">
        <v>704</v>
      </c>
      <c r="C99">
        <v>408255.16666000016</v>
      </c>
      <c r="D99">
        <v>219</v>
      </c>
      <c r="G99" t="s">
        <v>704</v>
      </c>
      <c r="I99">
        <v>37985.296359999993</v>
      </c>
      <c r="J99">
        <v>219</v>
      </c>
    </row>
    <row r="103" spans="1:11" x14ac:dyDescent="0.2">
      <c r="A103" s="83" t="s">
        <v>688</v>
      </c>
      <c r="B103" t="s">
        <v>705</v>
      </c>
      <c r="G103" s="83" t="s">
        <v>723</v>
      </c>
      <c r="H103" t="s">
        <v>721</v>
      </c>
    </row>
    <row r="104" spans="1:11" x14ac:dyDescent="0.2">
      <c r="A104" s="85" t="s">
        <v>693</v>
      </c>
      <c r="B104">
        <v>27748.402000000002</v>
      </c>
      <c r="G104" s="85" t="s">
        <v>693</v>
      </c>
      <c r="H104">
        <v>2765.7520000000004</v>
      </c>
    </row>
    <row r="105" spans="1:11" x14ac:dyDescent="0.2">
      <c r="A105" s="85" t="s">
        <v>692</v>
      </c>
      <c r="B105">
        <v>43186.164999999994</v>
      </c>
      <c r="G105" s="85" t="s">
        <v>692</v>
      </c>
      <c r="H105">
        <v>4001.9649999999992</v>
      </c>
    </row>
    <row r="106" spans="1:11" x14ac:dyDescent="0.2">
      <c r="A106" s="85" t="s">
        <v>694</v>
      </c>
      <c r="B106">
        <v>23755.644</v>
      </c>
      <c r="G106" s="85" t="s">
        <v>694</v>
      </c>
      <c r="H106">
        <v>2268.6840000000007</v>
      </c>
    </row>
    <row r="107" spans="1:11" x14ac:dyDescent="0.2">
      <c r="A107" s="85" t="s">
        <v>700</v>
      </c>
      <c r="B107">
        <v>70947.690000000017</v>
      </c>
      <c r="G107" s="85" t="s">
        <v>700</v>
      </c>
      <c r="H107">
        <v>6832.3200000000015</v>
      </c>
    </row>
    <row r="108" spans="1:11" x14ac:dyDescent="0.2">
      <c r="A108" s="85" t="s">
        <v>690</v>
      </c>
      <c r="B108">
        <v>19992.994999999999</v>
      </c>
      <c r="G108" s="85" t="s">
        <v>690</v>
      </c>
      <c r="H108">
        <v>1797.7849999999994</v>
      </c>
    </row>
    <row r="109" spans="1:11" x14ac:dyDescent="0.2">
      <c r="A109" s="85" t="s">
        <v>698</v>
      </c>
      <c r="B109">
        <v>36438.842000000004</v>
      </c>
      <c r="G109" s="85" t="s">
        <v>698</v>
      </c>
      <c r="H109">
        <v>3531.2420000000011</v>
      </c>
    </row>
    <row r="110" spans="1:11" x14ac:dyDescent="0.2">
      <c r="A110" s="85" t="s">
        <v>697</v>
      </c>
      <c r="B110">
        <v>25137.243999999999</v>
      </c>
      <c r="G110" s="85" t="s">
        <v>697</v>
      </c>
      <c r="H110">
        <v>2426.6440000000002</v>
      </c>
    </row>
    <row r="111" spans="1:11" x14ac:dyDescent="0.2">
      <c r="A111" s="85" t="s">
        <v>691</v>
      </c>
      <c r="B111">
        <v>61256.514000000003</v>
      </c>
      <c r="G111" s="85" t="s">
        <v>691</v>
      </c>
      <c r="H111">
        <v>4954.2240000000002</v>
      </c>
    </row>
    <row r="112" spans="1:11" x14ac:dyDescent="0.2">
      <c r="A112" s="85" t="s">
        <v>696</v>
      </c>
      <c r="B112">
        <v>14283.708999999999</v>
      </c>
      <c r="G112" s="85" t="s">
        <v>696</v>
      </c>
      <c r="H112">
        <v>1209.7689999999996</v>
      </c>
    </row>
    <row r="113" spans="1:8" x14ac:dyDescent="0.2">
      <c r="A113" s="85" t="s">
        <v>701</v>
      </c>
      <c r="B113">
        <v>2308.9</v>
      </c>
      <c r="G113" s="85" t="s">
        <v>701</v>
      </c>
      <c r="H113">
        <v>230.8900000000001</v>
      </c>
    </row>
    <row r="114" spans="1:8" x14ac:dyDescent="0.2">
      <c r="A114" s="85" t="s">
        <v>695</v>
      </c>
      <c r="B114">
        <v>35787.4</v>
      </c>
      <c r="G114" s="85" t="s">
        <v>695</v>
      </c>
      <c r="H114">
        <v>3578.7400000000007</v>
      </c>
    </row>
    <row r="115" spans="1:8" x14ac:dyDescent="0.2">
      <c r="A115" s="85" t="s">
        <v>699</v>
      </c>
      <c r="B115">
        <v>48956.787660000002</v>
      </c>
      <c r="G115" s="85" t="s">
        <v>699</v>
      </c>
      <c r="H115">
        <v>4479.0873600000004</v>
      </c>
    </row>
    <row r="116" spans="1:8" x14ac:dyDescent="0.2">
      <c r="A116" s="85" t="s">
        <v>704</v>
      </c>
      <c r="B116">
        <v>409800.29266000004</v>
      </c>
      <c r="G116" s="85" t="s">
        <v>704</v>
      </c>
      <c r="H116">
        <v>38077.102359999997</v>
      </c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</sheetData>
  <mergeCells count="2">
    <mergeCell ref="E3:E4"/>
    <mergeCell ref="K3:K4"/>
  </mergeCell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Refresh_Pivot_Table">
                <anchor moveWithCells="1">
                  <from>
                    <xdr:col>12</xdr:col>
                    <xdr:colOff>12700</xdr:colOff>
                    <xdr:row>6</xdr:row>
                    <xdr:rowOff>0</xdr:rowOff>
                  </from>
                  <to>
                    <xdr:col>13</xdr:col>
                    <xdr:colOff>1231900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1408-2AD3-4EDC-B048-1FE0B8A15D8A}">
  <sheetPr codeName="Sheet6"/>
  <dimension ref="A1"/>
  <sheetViews>
    <sheetView zoomScale="80" zoomScaleNormal="80" workbookViewId="0">
      <selection activeCell="E10" sqref="E10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Task for each group</vt:lpstr>
      <vt:lpstr>Receipt</vt:lpstr>
      <vt:lpstr>Inventory</vt:lpstr>
      <vt:lpstr>Item List</vt:lpstr>
      <vt:lpstr>Sales Performance</vt:lpstr>
      <vt:lpstr>Pivot Table(Item)</vt:lpstr>
      <vt:lpstr>Staff Performance</vt:lpstr>
      <vt:lpstr>Receipt!Print_Area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LeeSC</dc:creator>
  <cp:lastModifiedBy>Alisa Afendi</cp:lastModifiedBy>
  <cp:lastPrinted>2023-07-02T04:38:50Z</cp:lastPrinted>
  <dcterms:created xsi:type="dcterms:W3CDTF">2022-01-22T08:52:20Z</dcterms:created>
  <dcterms:modified xsi:type="dcterms:W3CDTF">2026-01-14T01:54:13Z</dcterms:modified>
</cp:coreProperties>
</file>